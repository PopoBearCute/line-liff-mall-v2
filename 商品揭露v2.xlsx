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LeaderBinding" sheetId="2" r:id="rId6"/>
    <sheet state="visible" name="IntentDB" sheetId="3" r:id="rId7"/>
    <sheet state="visible" name="Summary" sheetId="4" r:id="rId8"/>
    <sheet state="visible" name="NotifyLog" sheetId="5" r:id="rId9"/>
  </sheets>
  <definedNames/>
  <calcPr/>
</workbook>
</file>

<file path=xl/sharedStrings.xml><?xml version="1.0" encoding="utf-8"?>
<sst xmlns="http://schemas.openxmlformats.org/spreadsheetml/2006/main" count="921" uniqueCount="252">
  <si>
    <t>WaveID</t>
  </si>
  <si>
    <t>商品名稱</t>
  </si>
  <si>
    <t>原價</t>
  </si>
  <si>
    <t>團購價</t>
  </si>
  <si>
    <t>商品描述</t>
  </si>
  <si>
    <t>圖片網址</t>
  </si>
  <si>
    <t>商城連結</t>
  </si>
  <si>
    <t>MOQ</t>
  </si>
  <si>
    <t>選品開始時間</t>
  </si>
  <si>
    <t>選品結束時間</t>
  </si>
  <si>
    <t>販售開始時間</t>
  </si>
  <si>
    <t>販售結束時間</t>
  </si>
  <si>
    <t>2</t>
  </si>
  <si>
    <t>【冷藏出貨】特選白毛台巨峰葡萄 2.5kg</t>
  </si>
  <si>
    <t xml:space="preserve">白毛台巨峰葡萄 500g/袋、5袋/盒
特 色 : 葡萄界的賓利，外銷日本，臺中新社白
毛台巨峰葡萄果實飽滿，新鮮甜酸，天
然又健康。
</t>
  </si>
  <si>
    <t>https://i.duk.tw/ro53ux.jpg</t>
  </si>
  <si>
    <t>https://cpcbcs.cpc.com.tw/cpcpay/eshop/?p1=g&amp;p2=41</t>
  </si>
  <si>
    <t>1</t>
  </si>
  <si>
    <t>【小林製藥】桐灰 小白兔貼式暖暖包</t>
  </si>
  <si>
    <t>10片x2(日本平輸進口)
冬季來臨，薄薄一片貼上身，溫暖加倍。</t>
  </si>
  <si>
    <t>https://i.duk.tw/ranqRp.png</t>
  </si>
  <si>
    <t>https://cpcbcs.cpc.com.tw/cpcpay/eshop/?p1=g&amp;p2=8</t>
  </si>
  <si>
    <t>鋁製A to C磁吸充電傳輸線-1.2M</t>
  </si>
  <si>
    <t>E-books XA46 , 60W極速充電/磁吸收納/鋁合金</t>
  </si>
  <si>
    <t>https://i.duk.tw/wNIArs.jpg</t>
  </si>
  <si>
    <t>https://cpcbcs.cpc.com.tw/cpcpay/eshop/?p1=g&amp;p2=29</t>
  </si>
  <si>
    <t>TATUNG大同 6人份不鏽鋼配件電鍋</t>
  </si>
  <si>
    <t>SUS304不鏽鋼內外鍋- TAC-06L-MCW
加熱均勻，自動保溫※雙重被覆電源線，雙重安全保護
煮飯/粥、蒸、滷、燉多用途
多元料理一鍋多用</t>
  </si>
  <si>
    <t>https://img.91app.com/webapi/imagesV3/Original/SalePage/10974337/5/638898979845630000?v=1</t>
  </si>
  <si>
    <t>https://cpcbcs.cpc.com.tw/cpcpay/eshop/?p1=g&amp;p2=30</t>
  </si>
  <si>
    <t>【韓國Eunjin】 名品蔘雞湯 1000g/包</t>
  </si>
  <si>
    <t>商品重(容)量：內容量:1公斤 固形量:500公克*兩包組
食品添加物名稱：雞肉，糯米，大蒜，紅棗，人參，水，薑，鹽，L-麩酸鈉
原產地(國)：韓國</t>
  </si>
  <si>
    <t>https://i.duk.tw/6eFTNn.jpg</t>
  </si>
  <si>
    <t>https://cpcbcs.cpc.com.tw/cpcpay/eshop/?p1=g&amp;p2=9</t>
  </si>
  <si>
    <t>(新春好禮)多功能快煮鍋</t>
  </si>
  <si>
    <t>■ 內鍋正304不鏽鋼材質製造
■ 一鍵三段式開關，操作簡單方便
■ 外宿族、學生族、輕食烹調好幫手
■ 蒸、煮、燉三合一料理功能
■ 一鍵三段式開關，操作簡單方便</t>
  </si>
  <si>
    <t>https://i.duk.tw/QNeVXa.jpg</t>
  </si>
  <si>
    <t>https://cpcbcs.cpc.com.tw/cpcpay/eshop/?p1=g&amp;p2=10</t>
  </si>
  <si>
    <t>經典非油炸爆薏仁(焦糖)</t>
  </si>
  <si>
    <t>採健康烘培法、低溫烘烤、高壓熟成非油炸
▸ 全程烘烤非油炸。
▸ 手工熬煮焦糖製成。
▸ 微甜香脆好滋味。
▸ 極佳口感更勝爆米花。</t>
  </si>
  <si>
    <t>https://i.duk.tw/uZlWvb.jpg</t>
  </si>
  <si>
    <t>https://cpcbcs.cpc.com.tw/cpcpay/eshop/?p1=g&amp;p2=11</t>
  </si>
  <si>
    <t>[團購]義美草莓小泡芙57g</t>
  </si>
  <si>
    <t>大人小孩都喜歡的國民零食✨
濃厚內餡包覆在酥脆餅殼內，香氣十足，
一顆一口大小剛好，愈吃愈ㄙㄨㄚˋ嘴，
一不小心就吃完一整盒</t>
  </si>
  <si>
    <t>https://i.duk.tw/FvJGZ8.jpg</t>
  </si>
  <si>
    <t>https://cpcbcs.cpc.com.tw/cpcpay/eshop/?p1=g&amp;p2=31</t>
  </si>
  <si>
    <t>[團購]義美純麥取向蘇打餅乾341g</t>
  </si>
  <si>
    <t>營養標示：每一份量34.1公克 / 本包裝含10份</t>
  </si>
  <si>
    <t>https://i.duk.tw/NTBMf1.jpg</t>
  </si>
  <si>
    <t>https://cpcbcs.cpc.com.tw/cpcpay/eshop/?p1=g&amp;p2=12</t>
  </si>
  <si>
    <t>[團購]喜年來小金牛角35g</t>
  </si>
  <si>
    <t>金牛角-原味35公克</t>
  </si>
  <si>
    <t>https://i.duk.tw/KSXRBA.jpg</t>
  </si>
  <si>
    <t>https://cpcbcs.cpc.com.tw/cpcpay/eshop/?p1=g&amp;p2=13</t>
  </si>
  <si>
    <t>&lt;統一生機&gt; 杏仁小魚*3包</t>
  </si>
  <si>
    <t>v嚴選優質杏仁條x芝麻調味小魚干
v採用低溫烘烤、保留原始風味及營養成分
v本產品每21.5公克→鈣含97.4毫克
v豐富鈣質，有助於維持骨骼與牙齒的正常發育及健康</t>
  </si>
  <si>
    <t>https://i.duk.tw/Vp7tQK.jpg</t>
  </si>
  <si>
    <t>https://cpcbcs.cpc.com.tw/cpcpay/eshop/?p1=g&amp;p2=32</t>
  </si>
  <si>
    <t>【光禾市集】食誠良品 手工千層娃娃酥心糖－綜合</t>
  </si>
  <si>
    <t>🏆40年製糖家族，以精湛傳統手藝手工製作
🏆嚴選台灣在地食材製作，100%無香料、無添加
🏆多種口味可選，傳統娃娃酥也能吃到嶄新風味
🏆使用海藻糖與麥芽糖調製，甜而不膩、爽口涮嘴，熱量比傳統酥心糖低10%
🏆銀白糖衣厚薄有差異，品嚐得出純手工的獨特風味</t>
  </si>
  <si>
    <t>https://i.duk.tw/7Sx3O2.jpg</t>
  </si>
  <si>
    <t>https://cpcbcs.cpc.com.tw/cpcpay/eshop/?p1=g&amp;p2=14</t>
  </si>
  <si>
    <t>【光禾市集】食誠良品 台灣牛奶蜜棗乾300g</t>
  </si>
  <si>
    <t>😍 來自南台灣的鮮甜美味！ 契作牛奶蜜棗整顆製作
😍純天然、無添加、無防腐劑
😍 果肉厚實軟硬適中，不黏牙不費牙
😍 保留蜜棗滋味，微甜不膩，回甘潤口
😍 營養價值豐富，全家大小都愛的在地美味
😍 TAF實驗室防腐劑零檢出、國泰1000萬產品責任險</t>
  </si>
  <si>
    <t>https://i.duk.tw/XsqQUI.jpg</t>
  </si>
  <si>
    <t>https://cpcbcs.cpc.com.tw/cpcpay/eshop/?p1=g&amp;p2=15</t>
  </si>
  <si>
    <t>【光禾市集】逮丸三兄弟鮮蝦餅(原味)80g</t>
  </si>
  <si>
    <t>● 口味：正港原味
● 每包重量：80g±5％ /包
● 成團門檻：12包以上</t>
  </si>
  <si>
    <t>https://i.duk.tw/9yIqdm.jpg</t>
  </si>
  <si>
    <t>https://cpcbcs.cpc.com.tw/cpcpay/eshop/?p1=g&amp;p2=33</t>
  </si>
  <si>
    <t>參虎吃不停爆紅薏仁</t>
  </si>
  <si>
    <t>規格:150g±10g/罐
參虎爆紅薏仁 - 好吃到停不下來
嚴選紅薏仁，含豐富薏仁脂、植物性蛋白質高營養膳食纖維</t>
  </si>
  <si>
    <t>https://i.duk.tw/R7ML7P.png</t>
  </si>
  <si>
    <t>https://cpcbcs.cpc.com.tw/cpcpay/eshop/?p1=g&amp;p2=64</t>
  </si>
  <si>
    <t>【韓國SAM'S】濟州牛島風味夾心餅(綠茶風味)</t>
  </si>
  <si>
    <t>7入(綠茶風味)
商品重(容)量：20公克*7入</t>
  </si>
  <si>
    <t>https://i.duk.tw/GFDQl4.jpg</t>
  </si>
  <si>
    <t>https://cpcbcs.cpc.com.tw/cpcpay/eshop/?p1=g&amp;p2=44</t>
  </si>
  <si>
    <t>【韓國SAM'S】濟州牛島風味夾心餅(柑橘風味)</t>
  </si>
  <si>
    <t>7入(柑橘風味)
商品重(容)量：20公克*7入</t>
  </si>
  <si>
    <t>https://i.duk.tw/thAQGL.jpg</t>
  </si>
  <si>
    <t>https://cpcbcs.cpc.com.tw/cpcpay/eshop/?p1=g&amp;p2=45</t>
  </si>
  <si>
    <t>統一生機 海鹽洋芋片</t>
  </si>
  <si>
    <t>規格: 50公克
產地: 台灣</t>
  </si>
  <si>
    <t>https://i.duk.tw/IYeqUW.jpg</t>
  </si>
  <si>
    <t>https://cpcbcs.cpc.com.tw/cpcpay/eshop/?p1=g&amp;p2=95</t>
  </si>
  <si>
    <t>【雙龍牌雨傘】</t>
  </si>
  <si>
    <t>超強防風自動摺疊傘
雨傘顏色(共8色)隨機出貨，不挑色</t>
  </si>
  <si>
    <t>https://i.duk.tw/1oKXM6.jpg</t>
  </si>
  <si>
    <t>https://cpcbcs.cpc.com.tw/cpcpay/eshop/?p1=g&amp;p2=47</t>
  </si>
  <si>
    <t>【光禾市集】小農手作無添加花生糖</t>
  </si>
  <si>
    <t xml:space="preserve">重量：300g±5％
【食誠良品】小農手作無添加花生糖
👍嚴選雲林新鮮採收花生製作
</t>
  </si>
  <si>
    <t>https://i.duk.tw/Feq3E7.jpg</t>
  </si>
  <si>
    <t>https://cpcbcs.cpc.com.tw/cpcpay/eshop/?p1=g&amp;p2=48</t>
  </si>
  <si>
    <t>【My料理所】濃雞白湯火鍋湯底</t>
  </si>
  <si>
    <t>金車 / my料理所
845 公克</t>
  </si>
  <si>
    <t>https://i.duk.tw/HyoTLh.jpg</t>
  </si>
  <si>
    <t>https://cpcbcs.cpc.com.tw/cpcpay/eshop/?p1=g&amp;p2=51</t>
  </si>
  <si>
    <t>【My料理所】川香麻辣火鍋湯底</t>
  </si>
  <si>
    <t>https://i.duk.tw/APiZMB.jpg</t>
  </si>
  <si>
    <t>https://cpcbcs.cpc.com.tw/cpcpay/eshop/?p1=g&amp;p2=49</t>
  </si>
  <si>
    <t>【My料理所】日式咖哩牛</t>
  </si>
  <si>
    <t>https://i.duk.tw/CXOK8X.jpg</t>
  </si>
  <si>
    <t>https://cpcbcs.cpc.com.tw/cpcpay/eshop/?p1=g&amp;p2=50</t>
  </si>
  <si>
    <t>Crystal Valley礦沛氣泡水</t>
  </si>
  <si>
    <t>商品組合/規格：6罐/每罐330ml
商品重(容)量：330ml</t>
  </si>
  <si>
    <t>https://i.duk.tw/ZSphT0.jpg</t>
  </si>
  <si>
    <t>https://cpcbcs.cpc.com.tw/cpcpay/eshop/?p1=g&amp;p2=82</t>
  </si>
  <si>
    <t>伯朗甜香美式</t>
  </si>
  <si>
    <t>品名：伯朗甜香美式咖啡(含糖)
保存期限：24個月
規格：每包6罐/每罐240ml</t>
  </si>
  <si>
    <t>https://i.duk.tw/CA3vSB.jpg</t>
  </si>
  <si>
    <t>https://cpcbcs.cpc.com.tw/cpcpay/eshop/?p1=g&amp;p2=101</t>
  </si>
  <si>
    <t>招牌特厚蜜汁豬肉乾</t>
  </si>
  <si>
    <t>招牌特厚蜜汁豬肉乾(200公克)</t>
  </si>
  <si>
    <t>https://i.duk.tw/9TVffj.png</t>
  </si>
  <si>
    <t>https://cpcbcs.cpc.com.tw/cpcpay/eshop/?p1=g&amp;p2=52</t>
  </si>
  <si>
    <t>義美巧克力小泡芙57g</t>
  </si>
  <si>
    <t>https://i.duk.tw/5iJ7QK.jpg</t>
  </si>
  <si>
    <t>https://cpcbcs.cpc.com.tw/cpcpay/eshop/?p1=g&amp;p2=61</t>
  </si>
  <si>
    <t>【KAO】HAITER浴室泡沫漂白噴霧</t>
  </si>
  <si>
    <t>KAO清潔劑套組(400ml+400ml)(日本平輸進口)
分解霉垢，兼具漂白作用
迅速滲入頑垢內部、分解並去除污垢及霉菌</t>
  </si>
  <si>
    <t>https://i.duk.tw/zS01D4.png</t>
  </si>
  <si>
    <t>https://cpcbcs.cpc.com.tw/cpcpay/eshop/?p1=g&amp;p2=62</t>
  </si>
  <si>
    <t>【LEC超值組】激落君 強力除霉泡泡</t>
  </si>
  <si>
    <t>噴劑400ml+補充瓶400ml)(日本平輸進口)
浴室除黴超強幫手!!
簡單一噴，強力除黴效果浴室亮晶晶</t>
  </si>
  <si>
    <t>https://i.duk.tw/1l5H7z.png</t>
  </si>
  <si>
    <t>https://cpcbcs.cpc.com.tw/cpcpay/eshop/?p1=g&amp;p2=42</t>
  </si>
  <si>
    <t>【Loshi 】馬油護膚乳液</t>
  </si>
  <si>
    <t xml:space="preserve">485mlx2入(日本平輸進口)
</t>
  </si>
  <si>
    <t>https://i.duk.tw/2IoPEY.png</t>
  </si>
  <si>
    <t>https://cpcbcs.cpc.com.tw/cpcpay/eshop/?p1=g&amp;p2=63</t>
  </si>
  <si>
    <t xml:space="preserve">【Loshi 】馬油保濕乳霜 </t>
  </si>
  <si>
    <t xml:space="preserve"> 220gx2(日本平輸進口)
</t>
  </si>
  <si>
    <t>https://i.duk.tw/xsk3Y8.png</t>
  </si>
  <si>
    <t>https://cpcbcs.cpc.com.tw/cpcpay/eshop/?p1=g&amp;p2=43</t>
  </si>
  <si>
    <t>3</t>
  </si>
  <si>
    <t>食誠良品 手工低糖南棗核桃糕</t>
  </si>
  <si>
    <t>200g－3包組</t>
  </si>
  <si>
    <t>https://drive.google.com/thumbnail?id=1pDFuL4P9Fs-gEch_MQK1HvGXxdxqjC6f&amp;sz=w1200</t>
  </si>
  <si>
    <t>https://cpcbcs.cpc.com.tw/cpcpay/eshop/?p1=g&amp;p2=87</t>
  </si>
  <si>
    <t>77 系列超值綜合包</t>
  </si>
  <si>
    <t>超值綜合包 280G</t>
  </si>
  <si>
    <t>https://drive.google.com/thumbnail?id=1zW7xEw0SEDEByO1r9VcjstMd0ksYfP-X&amp;sz=w1200</t>
  </si>
  <si>
    <t>https://cpcbcs.cpc.com.tw/cpcpay/eshop/?p1=g&amp;p2=109</t>
  </si>
  <si>
    <t>【泰國MAGMAG】還魂梅</t>
  </si>
  <si>
    <t>186g/包</t>
  </si>
  <si>
    <t>https://drive.google.com/thumbnail?id=1sJG9xHDMT_Aap23kddx_kIgCUDXd5_2U&amp;sz=w1200</t>
  </si>
  <si>
    <t>https://cpcbcs.cpc.com.tw/cpcpay/eshop/?p1=g&amp;p2=122</t>
  </si>
  <si>
    <t>逮丸三兄弟鮮蝦餅(辣味)</t>
  </si>
  <si>
    <t>(辣味)80g</t>
  </si>
  <si>
    <t>https://drive.google.com/thumbnail?id=1BmnHRE6ZNN4EpEY5cdfuV0O9VYWZF2th&amp;sz=w1200</t>
  </si>
  <si>
    <t>https://cpcbcs.cpc.com.tw/cpcpay/eshop/?p1=g&amp;p2=88</t>
  </si>
  <si>
    <t>四秀竹山冬筍餅</t>
  </si>
  <si>
    <t xml:space="preserve">包裝份量 每份40g，本包裝含3份 </t>
  </si>
  <si>
    <t>https://drive.google.com/thumbnail?id=1rAxgwBNC5lvwmp5x8dvv7ewyckichLe_&amp;sz=w1200</t>
  </si>
  <si>
    <t>https://cpcbcs.cpc.com.tw/cpcpay/eshop/?p1=g&amp;p2=85</t>
  </si>
  <si>
    <t>義美牛奶小泡芙</t>
  </si>
  <si>
    <t>57g，4包組</t>
  </si>
  <si>
    <t>https://drive.google.com/thumbnail?id=1B2ZVNHs1P34ujzp21Xm9NMNGRt5NmqVm&amp;sz=w1200</t>
  </si>
  <si>
    <t>https://cpcbcs.cpc.com.tw/cpcpay/eshop/?p1=g&amp;p2=103</t>
  </si>
  <si>
    <t>統一生機-醇厚黑芝麻餅</t>
  </si>
  <si>
    <t>124g/包，3包組</t>
  </si>
  <si>
    <t>https://drive.google.com/thumbnail?id=1rpAZQGOE2X_BynoKNt-HzICOqj_Q688E&amp;sz=w1200</t>
  </si>
  <si>
    <t>https://cpcbcs.cpc.com.tw/cpcpay/eshop/?p1=g&amp;p2=106</t>
  </si>
  <si>
    <t>統一生機 義式椒鹽蘇打餅</t>
  </si>
  <si>
    <t>108g/包，3包組</t>
  </si>
  <si>
    <t>https://drive.google.com/thumbnail?id=1fb7R7tuBViwjp9Bs5nZcDh_GHq1SLHIV&amp;sz=w1200</t>
  </si>
  <si>
    <t>https://cpcbcs.cpc.com.tw/cpcpay/eshop/?p1=g&amp;p2=107</t>
  </si>
  <si>
    <t>【My料理所】胡椒豬肚火鍋湯底</t>
  </si>
  <si>
    <t>(900g/包)</t>
  </si>
  <si>
    <t>https://drive.google.com/thumbnail?id=1j0YAkr1IowGxWzfeVyHZ8n_JPj154C2w&amp;sz=w1200</t>
  </si>
  <si>
    <t>https://cpcbcs.cpc.com.tw/cpcpay/eshop/?p1=g&amp;p2=89</t>
  </si>
  <si>
    <t>【My料理所】筍絲控肉</t>
  </si>
  <si>
    <t>(565g/包)</t>
  </si>
  <si>
    <t>https://drive.google.com/thumbnail?id=1k4Dcf9-vJhU-cyb-NCaWVgumX8ZkZde1&amp;sz=w1200</t>
  </si>
  <si>
    <t>https://cpcbcs.cpc.com.tw/cpcpay/eshop/?p1=g&amp;p2=110</t>
  </si>
  <si>
    <t>【My料理所】紅燒牛肉</t>
  </si>
  <si>
    <t>(390g/包)</t>
  </si>
  <si>
    <t>https://drive.google.com/thumbnail?id=1lR4kqfv6EpQHq0i13xtLVIxGGpdarpWG&amp;sz=w1200</t>
  </si>
  <si>
    <t>https://cpcbcs.cpc.com.tw/cpcpay/eshop/?p1=g&amp;p2=90</t>
  </si>
  <si>
    <t>義美起司取向蘇打餅乾</t>
  </si>
  <si>
    <t>每一份量30公克 / 本包裝含10份</t>
  </si>
  <si>
    <t>https://drive.google.com/thumbnail?id=1eKCQC8mMZ78H182M41MEkn2XsJEdwm30&amp;sz=w1200</t>
  </si>
  <si>
    <t>https://cpcbcs.cpc.com.tw/cpcpay/eshop/?p1=g&amp;p2=104</t>
  </si>
  <si>
    <t>喜年來小蔬菜餅乾</t>
  </si>
  <si>
    <t>每一份量50公克</t>
  </si>
  <si>
    <t>https://drive.google.com/thumbnail?id=1Y5_9VdNZ2y785ypBvDfHz7Gsxg93-IcM&amp;sz=w1200</t>
  </si>
  <si>
    <t>https://cpcbcs.cpc.com.tw/cpcpay/eshop/?p1=g&amp;p2=105</t>
  </si>
  <si>
    <t>金鑽鳳梨酵素單瓶</t>
  </si>
  <si>
    <t>420毫升</t>
  </si>
  <si>
    <t>https://drive.google.com/thumbnail?id=136JESPlImdrUXkE11pZ_8gh9gwJzJse2&amp;sz=w1200</t>
  </si>
  <si>
    <t>https://cpcbcs.cpc.com.tw/cpcpay/eshop/?p1=g&amp;p2=108</t>
  </si>
  <si>
    <t>4</t>
  </si>
  <si>
    <t>test</t>
  </si>
  <si>
    <t>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420毫升</t>
  </si>
  <si>
    <t>test2</t>
  </si>
  <si>
    <t>420毫升420毫升420毫升420毫升420毫升420毫升420毫升420毫升420毫升420毫升</t>
  </si>
  <si>
    <t>test3</t>
  </si>
  <si>
    <t>唯一金鑰</t>
  </si>
  <si>
    <t>所屬波段</t>
  </si>
  <si>
    <t>團主 ID</t>
  </si>
  <si>
    <t>使用者 ID</t>
  </si>
  <si>
    <t>團主名稱</t>
  </si>
  <si>
    <t>綁定時間</t>
  </si>
  <si>
    <t>已啟用商品名單</t>
  </si>
  <si>
    <t>Ub6e6a2d6e6358bd68b656638e974b1c6_2</t>
  </si>
  <si>
    <t>Ub6e6a2d6e6358bd68b656638e974b1c6</t>
  </si>
  <si>
    <t>POPO</t>
  </si>
  <si>
    <t>波段</t>
  </si>
  <si>
    <t>團員 ID</t>
  </si>
  <si>
    <t>數量</t>
  </si>
  <si>
    <t>更新時間</t>
  </si>
  <si>
    <t>團員暱稱</t>
  </si>
  <si>
    <t>Ub6e6a2d6e6358bd68b656638e974b1c6_2_Ub6e6a2d6e6358bd68b656638e974b1c6_test</t>
  </si>
  <si>
    <t>https://profile.line-scdn.net/0hWc0NtGO9CEwdNxcMGrp2cm1nCyY-RlFeOAQTfysxA3pzUEkeZgRBIiA0UX4hAUYZZVgXfSgyV3g_BQhhLVAAQys0CR9DQi5sURVHT0ZIHR51bCdjRQI4SitTBXlbQkxGWSQGRFhFDiV2XAccawM4d1xrFilTWk55UWBkGhgFZs9yNX8ZMFBOLCA-VX6l</t>
  </si>
  <si>
    <t>Ub6e6a2d6e6358bd68b656638e974b1c6_2_Ub6e6a2d6e6358bd68b656638e974b1c6_test2</t>
  </si>
  <si>
    <t>Timestamp</t>
  </si>
  <si>
    <t>Type</t>
  </si>
  <si>
    <t>Data</t>
  </si>
  <si>
    <t>doGet</t>
  </si>
  <si>
    <t>{"leaderId":"Ub6e6a2d6e6358bd68b656638e974b1c6","userId":"Ub6e6a2d6e6358bd68b656638e974b1c6"}</t>
  </si>
  <si>
    <t>doPost</t>
  </si>
  <si>
    <t>{"action":"auto_register_leader","wave":"2","leaderId":"Ub6e6a2d6e6358bd68b656638e974b1c6","leaderName":"POPO"}</t>
  </si>
  <si>
    <t>{"action":"enable_product","wave":"2","leaderId":"Ub6e6a2d6e6358bd68b656638e974b1c6","leaderName":"POPO","prodName":"【韓國SAM'S】濟州牛島風味夾心餅(綠茶風味)"}</t>
  </si>
  <si>
    <t>{"action":"enable_product","wave":"2","leaderId":"Ub6e6a2d6e6358bd68b656638e974b1c6","leaderName":"POPO","prodName":"參虎吃不停爆紅薏仁"}</t>
  </si>
  <si>
    <t>{"action":"submit_batch_intent","wave":"2","leaderId":"Ub6e6a2d6e6358bd68b656638e974b1c6","leaderName":"POPO","userId":"Ub6e6a2d6e6358bd68b656638e974b1c6","userName":"POPO","userAvatar":"https://profile.line-scdn.net/0hWc0NtGO9CEwdNxcMGrp2cm1nCyY-RlFeOAQTfysxA3pzUEkeZgRBIiA0UX4hAUYZZVgXfSgyV3g_BQhhLVAAQys0CR9DQi5sURVHT0ZIHR51bCdjRQI4SitTBXlbQkxGWSQGRFhFDiV2XAccawM4d1xrFilTWk55UWBkGhgFZs9yNX8ZMFBOLCA-VX6l","items":[{"prodName":"test","qty":14}]}</t>
  </si>
  <si>
    <t>{"action":"submit_batch_intent","wave":"2","leaderId":"Ub6e6a2d6e6358bd68b656638e974b1c6","leaderName":"POPO","userId":"Ub6e6a2d6e6358bd68b656638e974b1c6","userName":"POPO","userAvatar":"https://profile.line-scdn.net/0hWc0NtGO9CEwdNxcMGrp2cm1nCyY-RlFeOAQTfysxA3pzUEkeZgRBIiA0UX4hAUYZZVgXfSgyV3g_BQhhLVAAQys0CR9DQi5sURVHT0ZIHR51bCdjRQI4SitTBXlbQkxGWSQGRFhFDiV2XAccawM4d1xrFilTWk55UWBkGhgFZs9yNX8ZMFBOLCA-VX6l","items":[{"prodName":"test2","qty":1}]}</t>
  </si>
  <si>
    <t>{"action":"enable_product","wave":"2","leaderId":"Ub6e6a2d6e6358bd68b656638e974b1c6","leaderName":"POPO","prodName":"【韓國SAM'S】濟州牛島風味夾心餅(柑橘風味)"}</t>
  </si>
  <si>
    <t>{"action":"enable_product","wave":"2","leaderId":"Ub6e6a2d6e6358bd68b656638e974b1c6","leaderName":"POPO","prodName":"參虎吃不停爆紅薏仁","isEnabled":false}</t>
  </si>
  <si>
    <t>{"action":"submit_batch_intent","wave":"2","leaderId":"Ub6e6a2d6e6358bd68b656638e974b1c6","leaderName":"POPO","userId":"Ub6e6a2d6e6358bd68b656638e974b1c6","userName":"POPO","userAvatar":"https://profile.line-scdn.net/0hWc0NtGO9CEwdNxcMGrp2cm1nCyY-RlFeOAQTfysxA3pzUEkeZgRBIiA0UX4hAUYZZVgXfSgyV3g_BQhhLVAAQys0CR9DQi5sURVHT0ZIHR51bCdjRQI4SitTBXlbQkxGWSQGRFhFDiV2XAccawM4d1xrFilTWk55UWBkGhgFZs9yNX8ZMFBOLCA-VX6l","items":[{"prodName":"test","qty":10}]}</t>
  </si>
  <si>
    <t>{}</t>
  </si>
  <si>
    <t>{"action":"enable_product","wave":"2","leaderId":"Ub6e6a2d6e6358bd68b656638e974b1c6","leaderName":"POPO","prodName":"【KAO】HAITER浴室泡沫漂白噴霧","isEnabled":true}</t>
  </si>
  <si>
    <t>{"action":"enable_product","wave":"2","leaderId":"Ub6e6a2d6e6358bd68b656638e974b1c6","leaderName":"POPO","prodName":"義美巧克力小泡芙57g","isEnabled":true}</t>
  </si>
  <si>
    <t>{"action":"enable_product","wave":"2","leaderId":"Ub6e6a2d6e6358bd68b656638e974b1c6","leaderName":"POPO","prodName":"【LEC超值組】激落君 強力除霉泡泡","isEnabled":true}</t>
  </si>
  <si>
    <t>{"action":"enable_product","wave":"2","leaderId":"Ub6e6a2d6e6358bd68b656638e974b1c6","leaderName":"POPO","prodName":"【My料理所】日式咖哩牛","isEnabled":true}</t>
  </si>
  <si>
    <t>{"action":"enable_product","wave":"2","leaderId":"Ub6e6a2d6e6358bd68b656638e974b1c6","leaderName":"POPO","prodName":"統一生機 海鹽洋芋片","isEnabled":true}</t>
  </si>
  <si>
    <t>{"leaderId":"DEV_TEST"}</t>
  </si>
  <si>
    <t>{"action":"enable_product","wave":"2","leaderId":"DEV_TEST","leaderName":"測試團購主","prodName":"參虎吃不停爆紅薏仁","isEnabled":true}</t>
  </si>
  <si>
    <t>DEBUG_Toggle</t>
  </si>
  <si>
    <t>{"prodName":"參虎吃不停爆紅薏仁","shouldEnable":true,"bindingKey":"DEV_TEST_2"}</t>
  </si>
  <si>
    <t>{"leaderId":"DEV_TEST","userId":"DEV_TEST"}</t>
  </si>
  <si>
    <t>{"action":"enable_product","wave":"2","leaderId":"DEV_TEST","leaderName":"測試團購主","prodName":"參虎吃不停爆紅薏仁","isEnabled":false}</t>
  </si>
  <si>
    <t>{"prodName":"參虎吃不停爆紅薏仁","shouldEnable":false,"bindingKey":"DEV_TEST_2"}</t>
  </si>
  <si>
    <t>{"action":"enable_product","wave":"2","leaderId":"Ub6e6a2d6e6358bd68b656638e974b1c6","leaderName":"POPO","prodName":"義美巧克力小泡芙57g","isEnabled":false}</t>
  </si>
  <si>
    <t>{"prodName":"參虎吃不停爆紅薏仁","shouldEnable":false,"bindingKey":"Ub6e6a2d6e6358bd68b656638e974b1c6_2"}</t>
  </si>
  <si>
    <t>{"action":"enable_product","wave":"2","leaderId":"Ub6e6a2d6e6358bd68b656638e974b1c6","leaderName":"POPO","prodName":"參虎吃不停爆紅薏仁","isEnabled":true}</t>
  </si>
  <si>
    <t>{"action":"enable_product","wave":"2","leaderId":"Ub6e6a2d6e6358bd68b656638e974b1c6","leaderName":"POPO","prodName":"【韓國SAM'S】濟州牛島風味夾心餅(綠茶風味)","isEnabled":false}</t>
  </si>
  <si>
    <t>{"action":"enable_product","wave":"2","leaderId":"Ub6e6a2d6e6358bd68b656638e974b1c6","leaderName":"POPO","prodName":"【韓國SAM'S】濟州牛島風味夾心餅(柑橘風味)","isEnabled":false}</t>
  </si>
  <si>
    <t>{"action":"enable_product","wave":"2","leaderId":"Ub6e6a2d6e6358bd68b656638e974b1c6","leaderName":"POPO","prodName":"統一生機 海鹽洋芋片","isEnabled":false}</t>
  </si>
  <si>
    <t>{"action":"enable_product","wave":"2","leaderId":"Ub6e6a2d6e6358bd68b656638e974b1c6","leaderName":"POPO","prodName":"【My料理所】日式咖哩牛","isEnabled":false}</t>
  </si>
  <si>
    <t>{"action":"enable_product","wave":"2","leaderId":"Ub6e6a2d6e6358bd68b656638e974b1c6","leaderName":"POPO","prodName":"【KAO】HAITER浴室泡沫漂白噴霧","isEnabled":false}</t>
  </si>
  <si>
    <t>{"action":"enable_product","wave":"2","leaderId":"Ub6e6a2d6e6358bd68b656638e974b1c6","leaderName":"POPO","prodName":"【LEC超值組】激落君 強力除霉泡泡","isEnabled":false}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</si>
</sst>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m/d/yyyy h:mm:ss"/>
  </numFmts>
  <fonts count="1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3B3B3B"/>
      <name val="&quot;Segoe WPC&quot;"/>
    </font>
    <font>
      <sz val="11.0"/>
      <color rgb="FF3B3B3B"/>
      <name val="Arial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u/>
      <sz val="12.0"/>
      <color rgb="FF1155CC"/>
      <name val="Arial"/>
    </font>
    <font>
      <sz val="12.0"/>
      <color rgb="FF212529"/>
      <name val="&quot;Noto Sans Mono&quot;"/>
    </font>
    <font>
      <u/>
      <sz val="12.0"/>
      <color rgb="FF1155CC"/>
      <name val="Arial"/>
    </font>
    <font>
      <sz val="12.0"/>
      <color theme="1"/>
      <name val="Calibri"/>
    </font>
    <font>
      <u/>
      <sz val="12.0"/>
      <color rgb="FF0000FF"/>
    </font>
    <font>
      <u/>
      <sz val="12.0"/>
      <color rgb="FF1155CC"/>
      <name val="Arial"/>
    </font>
    <font>
      <color theme="1"/>
      <name val="Arial"/>
      <scheme val="minor"/>
    </font>
    <font>
      <u/>
      <color rgb="FF0000FF"/>
    </font>
    <font>
      <b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49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5" numFmtId="0" xfId="0" applyFont="1"/>
    <xf borderId="0" fillId="2" fontId="8" numFmtId="164" xfId="0" applyAlignment="1" applyFont="1" applyNumberFormat="1">
      <alignment horizontal="left" readingOrder="0" shrinkToFit="0" wrapText="0"/>
    </xf>
    <xf borderId="0" fillId="2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2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3" numFmtId="49" xfId="0" applyFont="1" applyNumberFormat="1"/>
    <xf borderId="0" fillId="0" fontId="13" numFmtId="0" xfId="0" applyAlignment="1" applyFont="1">
      <alignment readingOrder="0"/>
    </xf>
    <xf borderId="0" fillId="2" fontId="2" numFmtId="49" xfId="0" applyAlignment="1" applyFont="1" applyNumberFormat="1">
      <alignment readingOrder="0"/>
    </xf>
    <xf borderId="1" fillId="2" fontId="2" numFmtId="0" xfId="0" applyAlignment="1" applyBorder="1" applyFont="1">
      <alignment readingOrder="0"/>
    </xf>
    <xf borderId="0" fillId="0" fontId="13" numFmtId="165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pcbcs.cpc.com.tw/cpcpay/eshop/?p1=g&amp;p2=48" TargetMode="External"/><Relationship Id="rId42" Type="http://schemas.openxmlformats.org/officeDocument/2006/relationships/hyperlink" Target="https://cpcbcs.cpc.com.tw/cpcpay/eshop/?p1=g&amp;p2=51" TargetMode="External"/><Relationship Id="rId41" Type="http://schemas.openxmlformats.org/officeDocument/2006/relationships/hyperlink" Target="https://i.duk.tw/HyoTLh.jpg" TargetMode="External"/><Relationship Id="rId44" Type="http://schemas.openxmlformats.org/officeDocument/2006/relationships/hyperlink" Target="https://cpcbcs.cpc.com.tw/cpcpay/eshop/?p1=g&amp;p2=49" TargetMode="External"/><Relationship Id="rId43" Type="http://schemas.openxmlformats.org/officeDocument/2006/relationships/hyperlink" Target="https://i.duk.tw/APiZMB.jpg" TargetMode="External"/><Relationship Id="rId46" Type="http://schemas.openxmlformats.org/officeDocument/2006/relationships/hyperlink" Target="https://cpcbcs.cpc.com.tw/cpcpay/eshop/?p1=g&amp;p2=50" TargetMode="External"/><Relationship Id="rId45" Type="http://schemas.openxmlformats.org/officeDocument/2006/relationships/hyperlink" Target="https://i.duk.tw/CXOK8X.jpg" TargetMode="External"/><Relationship Id="rId48" Type="http://schemas.openxmlformats.org/officeDocument/2006/relationships/hyperlink" Target="https://cpcbcs.cpc.com.tw/cpcpay/eshop/?p1=g&amp;p2=82" TargetMode="External"/><Relationship Id="rId47" Type="http://schemas.openxmlformats.org/officeDocument/2006/relationships/hyperlink" Target="https://i.duk.tw/ZSphT0.jpg" TargetMode="External"/><Relationship Id="rId49" Type="http://schemas.openxmlformats.org/officeDocument/2006/relationships/hyperlink" Target="https://i.duk.tw/CA3vSB.jpg" TargetMode="External"/><Relationship Id="rId31" Type="http://schemas.openxmlformats.org/officeDocument/2006/relationships/hyperlink" Target="https://i.duk.tw/GFDQl4.jpg" TargetMode="External"/><Relationship Id="rId30" Type="http://schemas.openxmlformats.org/officeDocument/2006/relationships/hyperlink" Target="https://cpcbcs.cpc.com.tw/cpcpay/eshop/?p1=g&amp;p2=64" TargetMode="External"/><Relationship Id="rId33" Type="http://schemas.openxmlformats.org/officeDocument/2006/relationships/hyperlink" Target="https://i.duk.tw/thAQGL.jpg" TargetMode="External"/><Relationship Id="rId32" Type="http://schemas.openxmlformats.org/officeDocument/2006/relationships/hyperlink" Target="https://cpcbcs.cpc.com.tw/cpcpay/eshop/?p1=g&amp;p2=44" TargetMode="External"/><Relationship Id="rId35" Type="http://schemas.openxmlformats.org/officeDocument/2006/relationships/hyperlink" Target="https://i.duk.tw/IYeqUW.jpg" TargetMode="External"/><Relationship Id="rId34" Type="http://schemas.openxmlformats.org/officeDocument/2006/relationships/hyperlink" Target="https://cpcbcs.cpc.com.tw/cpcpay/eshop/?p1=g&amp;p2=45" TargetMode="External"/><Relationship Id="rId37" Type="http://schemas.openxmlformats.org/officeDocument/2006/relationships/hyperlink" Target="https://i.duk.tw/1oKXM6.jpg" TargetMode="External"/><Relationship Id="rId36" Type="http://schemas.openxmlformats.org/officeDocument/2006/relationships/hyperlink" Target="https://cpcbcs.cpc.com.tw/cpcpay/eshop/?p1=g&amp;p2=95" TargetMode="External"/><Relationship Id="rId39" Type="http://schemas.openxmlformats.org/officeDocument/2006/relationships/hyperlink" Target="https://i.duk.tw/Feq3E7.jpg" TargetMode="External"/><Relationship Id="rId38" Type="http://schemas.openxmlformats.org/officeDocument/2006/relationships/hyperlink" Target="https://cpcbcs.cpc.com.tw/cpcpay/eshop/?p1=g&amp;p2=47" TargetMode="External"/><Relationship Id="rId20" Type="http://schemas.openxmlformats.org/officeDocument/2006/relationships/hyperlink" Target="https://cpcbcs.cpc.com.tw/cpcpay/eshop/?p1=g&amp;p2=13" TargetMode="External"/><Relationship Id="rId22" Type="http://schemas.openxmlformats.org/officeDocument/2006/relationships/hyperlink" Target="https://cpcbcs.cpc.com.tw/cpcpay/eshop/?p1=g&amp;p2=32" TargetMode="External"/><Relationship Id="rId21" Type="http://schemas.openxmlformats.org/officeDocument/2006/relationships/hyperlink" Target="https://i.duk.tw/Vp7tQK.jpg" TargetMode="External"/><Relationship Id="rId24" Type="http://schemas.openxmlformats.org/officeDocument/2006/relationships/hyperlink" Target="https://cpcbcs.cpc.com.tw/cpcpay/eshop/?p1=g&amp;p2=14" TargetMode="External"/><Relationship Id="rId23" Type="http://schemas.openxmlformats.org/officeDocument/2006/relationships/hyperlink" Target="https://i.duk.tw/7Sx3O2.jpg" TargetMode="External"/><Relationship Id="rId26" Type="http://schemas.openxmlformats.org/officeDocument/2006/relationships/hyperlink" Target="https://cpcbcs.cpc.com.tw/cpcpay/eshop/?p1=g&amp;p2=15" TargetMode="External"/><Relationship Id="rId25" Type="http://schemas.openxmlformats.org/officeDocument/2006/relationships/hyperlink" Target="https://i.duk.tw/XsqQUI.jpg" TargetMode="External"/><Relationship Id="rId28" Type="http://schemas.openxmlformats.org/officeDocument/2006/relationships/hyperlink" Target="https://cpcbcs.cpc.com.tw/cpcpay/eshop/?p1=g&amp;p2=33" TargetMode="External"/><Relationship Id="rId27" Type="http://schemas.openxmlformats.org/officeDocument/2006/relationships/hyperlink" Target="https://i.duk.tw/9yIqdm.jpg" TargetMode="External"/><Relationship Id="rId29" Type="http://schemas.openxmlformats.org/officeDocument/2006/relationships/hyperlink" Target="https://i.duk.tw/R7ML7P.png" TargetMode="External"/><Relationship Id="rId95" Type="http://schemas.openxmlformats.org/officeDocument/2006/relationships/hyperlink" Target="https://i.duk.tw/9TVffj.png" TargetMode="External"/><Relationship Id="rId94" Type="http://schemas.openxmlformats.org/officeDocument/2006/relationships/hyperlink" Target="https://cpcbcs.cpc.com.tw/cpcpay/eshop/?p1=g&amp;p2=107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cpcbcs.cpc.com.tw/cpcpay/eshop/?p1=g&amp;p2=89" TargetMode="External"/><Relationship Id="rId11" Type="http://schemas.openxmlformats.org/officeDocument/2006/relationships/hyperlink" Target="https://i.duk.tw/QNeVXa.jpg" TargetMode="External"/><Relationship Id="rId10" Type="http://schemas.openxmlformats.org/officeDocument/2006/relationships/hyperlink" Target="https://cpcbcs.cpc.com.tw/cpcpay/eshop/?p1=g&amp;p2=9" TargetMode="External"/><Relationship Id="rId13" Type="http://schemas.openxmlformats.org/officeDocument/2006/relationships/hyperlink" Target="https://i.duk.tw/uZlWvb.jpg" TargetMode="External"/><Relationship Id="rId12" Type="http://schemas.openxmlformats.org/officeDocument/2006/relationships/hyperlink" Target="https://cpcbcs.cpc.com.tw/cpcpay/eshop/?p1=g&amp;p2=10" TargetMode="External"/><Relationship Id="rId91" Type="http://schemas.openxmlformats.org/officeDocument/2006/relationships/hyperlink" Target="https://i.duk.tw/ZSphT0.jpg" TargetMode="External"/><Relationship Id="rId90" Type="http://schemas.openxmlformats.org/officeDocument/2006/relationships/hyperlink" Target="https://cpcbcs.cpc.com.tw/cpcpay/eshop/?p1=g&amp;p2=108" TargetMode="External"/><Relationship Id="rId93" Type="http://schemas.openxmlformats.org/officeDocument/2006/relationships/hyperlink" Target="https://i.duk.tw/CA3vSB.jpg" TargetMode="External"/><Relationship Id="rId92" Type="http://schemas.openxmlformats.org/officeDocument/2006/relationships/hyperlink" Target="https://cpcbcs.cpc.com.tw/cpcpay/eshop/?p1=g&amp;p2=106" TargetMode="External"/><Relationship Id="rId15" Type="http://schemas.openxmlformats.org/officeDocument/2006/relationships/hyperlink" Target="https://i.duk.tw/FvJGZ8.jpg" TargetMode="External"/><Relationship Id="rId14" Type="http://schemas.openxmlformats.org/officeDocument/2006/relationships/hyperlink" Target="https://cpcbcs.cpc.com.tw/cpcpay/eshop/?p1=g&amp;p2=11" TargetMode="External"/><Relationship Id="rId17" Type="http://schemas.openxmlformats.org/officeDocument/2006/relationships/hyperlink" Target="https://i.duk.tw/NTBMf1.jpg" TargetMode="External"/><Relationship Id="rId16" Type="http://schemas.openxmlformats.org/officeDocument/2006/relationships/hyperlink" Target="https://cpcbcs.cpc.com.tw/cpcpay/eshop/?p1=g&amp;p2=31" TargetMode="External"/><Relationship Id="rId19" Type="http://schemas.openxmlformats.org/officeDocument/2006/relationships/hyperlink" Target="https://i.duk.tw/KSXRBA.jpg" TargetMode="External"/><Relationship Id="rId18" Type="http://schemas.openxmlformats.org/officeDocument/2006/relationships/hyperlink" Target="https://cpcbcs.cpc.com.tw/cpcpay/eshop/?p1=g&amp;p2=12" TargetMode="External"/><Relationship Id="rId84" Type="http://schemas.openxmlformats.org/officeDocument/2006/relationships/hyperlink" Target="https://cpcbcs.cpc.com.tw/cpcpay/eshop/?p1=g&amp;p2=90" TargetMode="External"/><Relationship Id="rId83" Type="http://schemas.openxmlformats.org/officeDocument/2006/relationships/hyperlink" Target="https://drive.google.com/thumbnail?id=1lR4kqfv6EpQHq0i13xtLVIxGGpdarpWG&amp;sz=w1200" TargetMode="External"/><Relationship Id="rId86" Type="http://schemas.openxmlformats.org/officeDocument/2006/relationships/hyperlink" Target="https://cpcbcs.cpc.com.tw/cpcpay/eshop/?p1=g&amp;p2=104" TargetMode="External"/><Relationship Id="rId85" Type="http://schemas.openxmlformats.org/officeDocument/2006/relationships/hyperlink" Target="https://drive.google.com/thumbnail?id=1eKCQC8mMZ78H182M41MEkn2XsJEdwm30&amp;sz=w1200" TargetMode="External"/><Relationship Id="rId88" Type="http://schemas.openxmlformats.org/officeDocument/2006/relationships/hyperlink" Target="https://cpcbcs.cpc.com.tw/cpcpay/eshop/?p1=g&amp;p2=105" TargetMode="External"/><Relationship Id="rId87" Type="http://schemas.openxmlformats.org/officeDocument/2006/relationships/hyperlink" Target="https://drive.google.com/thumbnail?id=1Y5_9VdNZ2y785ypBvDfHz7Gsxg93-IcM&amp;sz=w1200" TargetMode="External"/><Relationship Id="rId89" Type="http://schemas.openxmlformats.org/officeDocument/2006/relationships/hyperlink" Target="https://drive.google.com/thumbnail?id=136JESPlImdrUXkE11pZ_8gh9gwJzJse2&amp;sz=w1200" TargetMode="External"/><Relationship Id="rId80" Type="http://schemas.openxmlformats.org/officeDocument/2006/relationships/hyperlink" Target="https://cpcbcs.cpc.com.tw/cpcpay/eshop/?p1=g&amp;p2=89" TargetMode="External"/><Relationship Id="rId82" Type="http://schemas.openxmlformats.org/officeDocument/2006/relationships/hyperlink" Target="https://cpcbcs.cpc.com.tw/cpcpay/eshop/?p1=g&amp;p2=110" TargetMode="External"/><Relationship Id="rId81" Type="http://schemas.openxmlformats.org/officeDocument/2006/relationships/hyperlink" Target="https://drive.google.com/thumbnail?id=1k4Dcf9-vJhU-cyb-NCaWVgumX8ZkZde1&amp;sz=w1200" TargetMode="External"/><Relationship Id="rId1" Type="http://schemas.openxmlformats.org/officeDocument/2006/relationships/hyperlink" Target="https://i.duk.tw/ro53ux.jpg" TargetMode="External"/><Relationship Id="rId2" Type="http://schemas.openxmlformats.org/officeDocument/2006/relationships/hyperlink" Target="https://cpcbcs.cpc.com.tw/cpcpay/eshop/?p1=g&amp;p2=41" TargetMode="External"/><Relationship Id="rId3" Type="http://schemas.openxmlformats.org/officeDocument/2006/relationships/hyperlink" Target="https://i.duk.tw/ranqRp.png" TargetMode="External"/><Relationship Id="rId4" Type="http://schemas.openxmlformats.org/officeDocument/2006/relationships/hyperlink" Target="https://cpcbcs.cpc.com.tw/cpcpay/eshop/?p1=g&amp;p2=8" TargetMode="External"/><Relationship Id="rId9" Type="http://schemas.openxmlformats.org/officeDocument/2006/relationships/hyperlink" Target="https://i.duk.tw/6eFTNn.jpg" TargetMode="External"/><Relationship Id="rId5" Type="http://schemas.openxmlformats.org/officeDocument/2006/relationships/hyperlink" Target="https://i.duk.tw/wNIArs.jpg" TargetMode="External"/><Relationship Id="rId6" Type="http://schemas.openxmlformats.org/officeDocument/2006/relationships/hyperlink" Target="https://cpcbcs.cpc.com.tw/cpcpay/eshop/?p1=g&amp;p2=29" TargetMode="External"/><Relationship Id="rId7" Type="http://schemas.openxmlformats.org/officeDocument/2006/relationships/hyperlink" Target="https://img.91app.com/webapi/imagesV3/Original/SalePage/10974337/5/638898979845630000?v=1" TargetMode="External"/><Relationship Id="rId8" Type="http://schemas.openxmlformats.org/officeDocument/2006/relationships/hyperlink" Target="https://cpcbcs.cpc.com.tw/cpcpay/eshop/?p1=g&amp;p2=30" TargetMode="External"/><Relationship Id="rId73" Type="http://schemas.openxmlformats.org/officeDocument/2006/relationships/hyperlink" Target="https://drive.google.com/thumbnail?id=1B2ZVNHs1P34ujzp21Xm9NMNGRt5NmqVm&amp;sz=w1200" TargetMode="External"/><Relationship Id="rId72" Type="http://schemas.openxmlformats.org/officeDocument/2006/relationships/hyperlink" Target="https://cpcbcs.cpc.com.tw/cpcpay/eshop/?p1=g&amp;p2=85" TargetMode="External"/><Relationship Id="rId75" Type="http://schemas.openxmlformats.org/officeDocument/2006/relationships/hyperlink" Target="https://drive.google.com/thumbnail?id=1rpAZQGOE2X_BynoKNt-HzICOqj_Q688E&amp;sz=w1200" TargetMode="External"/><Relationship Id="rId74" Type="http://schemas.openxmlformats.org/officeDocument/2006/relationships/hyperlink" Target="https://cpcbcs.cpc.com.tw/cpcpay/eshop/?p1=g&amp;p2=103" TargetMode="External"/><Relationship Id="rId77" Type="http://schemas.openxmlformats.org/officeDocument/2006/relationships/hyperlink" Target="https://drive.google.com/thumbnail?id=1fb7R7tuBViwjp9Bs5nZcDh_GHq1SLHIV&amp;sz=w1200" TargetMode="External"/><Relationship Id="rId76" Type="http://schemas.openxmlformats.org/officeDocument/2006/relationships/hyperlink" Target="https://cpcbcs.cpc.com.tw/cpcpay/eshop/?p1=g&amp;p2=106" TargetMode="External"/><Relationship Id="rId79" Type="http://schemas.openxmlformats.org/officeDocument/2006/relationships/hyperlink" Target="https://drive.google.com/thumbnail?id=1j0YAkr1IowGxWzfeVyHZ8n_JPj154C2w&amp;sz=w1200" TargetMode="External"/><Relationship Id="rId78" Type="http://schemas.openxmlformats.org/officeDocument/2006/relationships/hyperlink" Target="https://cpcbcs.cpc.com.tw/cpcpay/eshop/?p1=g&amp;p2=107" TargetMode="External"/><Relationship Id="rId71" Type="http://schemas.openxmlformats.org/officeDocument/2006/relationships/hyperlink" Target="https://drive.google.com/thumbnail?id=1rAxgwBNC5lvwmp5x8dvv7ewyckichLe_&amp;sz=w1200" TargetMode="External"/><Relationship Id="rId70" Type="http://schemas.openxmlformats.org/officeDocument/2006/relationships/hyperlink" Target="https://cpcbcs.cpc.com.tw/cpcpay/eshop/?p1=g&amp;p2=88" TargetMode="External"/><Relationship Id="rId62" Type="http://schemas.openxmlformats.org/officeDocument/2006/relationships/hyperlink" Target="https://cpcbcs.cpc.com.tw/cpcpay/eshop/?p1=g&amp;p2=43" TargetMode="External"/><Relationship Id="rId61" Type="http://schemas.openxmlformats.org/officeDocument/2006/relationships/hyperlink" Target="https://i.duk.tw/xsk3Y8.png" TargetMode="External"/><Relationship Id="rId64" Type="http://schemas.openxmlformats.org/officeDocument/2006/relationships/hyperlink" Target="https://cpcbcs.cpc.com.tw/cpcpay/eshop/?p1=g&amp;p2=87" TargetMode="External"/><Relationship Id="rId63" Type="http://schemas.openxmlformats.org/officeDocument/2006/relationships/hyperlink" Target="https://drive.google.com/thumbnail?id=1pDFuL4P9Fs-gEch_MQK1HvGXxdxqjC6f&amp;sz=w1200" TargetMode="External"/><Relationship Id="rId66" Type="http://schemas.openxmlformats.org/officeDocument/2006/relationships/hyperlink" Target="https://cpcbcs.cpc.com.tw/cpcpay/eshop/?p1=g&amp;p2=109" TargetMode="External"/><Relationship Id="rId65" Type="http://schemas.openxmlformats.org/officeDocument/2006/relationships/hyperlink" Target="https://drive.google.com/thumbnail?id=1zW7xEw0SEDEByO1r9VcjstMd0ksYfP-X&amp;sz=w1200" TargetMode="External"/><Relationship Id="rId68" Type="http://schemas.openxmlformats.org/officeDocument/2006/relationships/hyperlink" Target="https://cpcbcs.cpc.com.tw/cpcpay/eshop/?p1=g&amp;p2=122" TargetMode="External"/><Relationship Id="rId67" Type="http://schemas.openxmlformats.org/officeDocument/2006/relationships/hyperlink" Target="https://drive.google.com/thumbnail?id=1sJG9xHDMT_Aap23kddx_kIgCUDXd5_2U&amp;sz=w1200" TargetMode="External"/><Relationship Id="rId60" Type="http://schemas.openxmlformats.org/officeDocument/2006/relationships/hyperlink" Target="https://cpcbcs.cpc.com.tw/cpcpay/eshop/?p1=g&amp;p2=63" TargetMode="External"/><Relationship Id="rId69" Type="http://schemas.openxmlformats.org/officeDocument/2006/relationships/hyperlink" Target="https://drive.google.com/thumbnail?id=1BmnHRE6ZNN4EpEY5cdfuV0O9VYWZF2th&amp;sz=w1200" TargetMode="External"/><Relationship Id="rId51" Type="http://schemas.openxmlformats.org/officeDocument/2006/relationships/hyperlink" Target="https://i.duk.tw/9TVffj.png" TargetMode="External"/><Relationship Id="rId50" Type="http://schemas.openxmlformats.org/officeDocument/2006/relationships/hyperlink" Target="https://cpcbcs.cpc.com.tw/cpcpay/eshop/?p1=g&amp;p2=101" TargetMode="External"/><Relationship Id="rId53" Type="http://schemas.openxmlformats.org/officeDocument/2006/relationships/hyperlink" Target="https://i.duk.tw/5iJ7QK.jpg" TargetMode="External"/><Relationship Id="rId52" Type="http://schemas.openxmlformats.org/officeDocument/2006/relationships/hyperlink" Target="https://cpcbcs.cpc.com.tw/cpcpay/eshop/?p1=g&amp;p2=52" TargetMode="External"/><Relationship Id="rId55" Type="http://schemas.openxmlformats.org/officeDocument/2006/relationships/hyperlink" Target="https://i.duk.tw/zS01D4.png" TargetMode="External"/><Relationship Id="rId54" Type="http://schemas.openxmlformats.org/officeDocument/2006/relationships/hyperlink" Target="https://cpcbcs.cpc.com.tw/cpcpay/eshop/?p1=g&amp;p2=61" TargetMode="External"/><Relationship Id="rId57" Type="http://schemas.openxmlformats.org/officeDocument/2006/relationships/hyperlink" Target="https://i.duk.tw/1l5H7z.png" TargetMode="External"/><Relationship Id="rId56" Type="http://schemas.openxmlformats.org/officeDocument/2006/relationships/hyperlink" Target="https://cpcbcs.cpc.com.tw/cpcpay/eshop/?p1=g&amp;p2=62" TargetMode="External"/><Relationship Id="rId59" Type="http://schemas.openxmlformats.org/officeDocument/2006/relationships/hyperlink" Target="https://i.duk.tw/2IoPEY.png" TargetMode="External"/><Relationship Id="rId58" Type="http://schemas.openxmlformats.org/officeDocument/2006/relationships/hyperlink" Target="https://cpcbcs.cpc.com.tw/cpcpay/eshop/?p1=g&amp;p2=4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ofile.line-scdn.net/0hWc0NtGO9CEwdNxcMGrp2cm1nCyY-RlFeOAQTfysxA3pzUEkeZgRBIiA0UX4hAUYZZVgXfSgyV3g_BQhhLVAAQys0CR9DQi5sURVHT0ZIHR51bCdjRQI4SitTBXlbQkxGWSQGRFhFDiV2XAccawM4d1xrFilTWk55UWBkGhgFZs9yNX8ZMFBOLCA-VX6l" TargetMode="External"/><Relationship Id="rId2" Type="http://schemas.openxmlformats.org/officeDocument/2006/relationships/hyperlink" Target="https://profile.line-scdn.net/0hWc0NtGO9CEwdNxcMGrp2cm1nCyY-RlFeOAQTfysxA3pzUEkeZgRBIiA0UX4hAUYZZVgXfSgyV3g_BQhhLVAAQys0CR9DQi5sURVHT0ZIHR51bCdjRQI4SitTBXlbQkxGWSQGRFhFDiV2XAccawM4d1xrFilTWk55UWBkGhgFZs9yNX8ZMFBOLCA-VX6l" TargetMode="External"/><Relationship Id="rId3" Type="http://schemas.openxmlformats.org/officeDocument/2006/relationships/hyperlink" Target="https://profile.line-scdn.net/0hWc0NtGO9CEwdNxcMGrp2cm1nCyY-RlFeOAQTfysxA3pzUEkeZgRBIiA0UX4hAUYZZVgXfSgyV3g_BQhhLVAAQys0CR9DQi5sURVHT0ZIHR51bCdjRQI4SitTBXlbQkxGWSQGRFhFDiV2XAccawM4d1xrFilTWk55UWBkGhgFZs9yNX8ZMFBOLCA-VX6l" TargetMode="External"/><Relationship Id="rId4" Type="http://schemas.openxmlformats.org/officeDocument/2006/relationships/hyperlink" Target="https://profile.line-scdn.net/0hWc0NtGO9CEwdNxcMGrp2cm1nCyY-RlFeOAQTfysxA3pzUEkeZgRBIiA0UX4hAUYZZVgXfSgyV3g_BQhhLVAAQys0CR9DQi5sURVHT0ZIHR51bCdjRQI4SitTBXlbQkxGWSQGRFhFDiV2XAccawM4d1xrFilTWk55UWBkGhgFZs9yNX8ZMFBOLCA-VX6l" TargetMode="External"/><Relationship Id="rId5" Type="http://schemas.openxmlformats.org/officeDocument/2006/relationships/hyperlink" Target="https://profile.line-scdn.net/0hWc0NtGO9CEwdNxcMGrp2cm1nCyY-RlFeOAQTfysxA3pzUEkeZgRBIiA0UX4hAUYZZVgXfSgyV3g_BQhhLVAAQys0CR9DQi5sURVHT0ZIHR51bCdjRQI4SitTBXlbQkxGWSQGRFhFDiV2XAccawM4d1xrFilTWk55UWBkGhgFZs9yNX8ZMFBOLCA-VX6l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13"/>
    <col customWidth="1" min="3" max="3" width="9.38"/>
    <col customWidth="1" min="4" max="4" width="5.5"/>
    <col customWidth="1" min="5" max="5" width="69.75"/>
    <col customWidth="1" min="6" max="6" width="89.75"/>
    <col customWidth="1" min="7" max="7" width="50.88"/>
    <col customWidth="1" min="8" max="8" width="17.88"/>
    <col customWidth="1" min="9" max="9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12</v>
      </c>
      <c r="B2" s="7" t="s">
        <v>13</v>
      </c>
      <c r="C2" s="8">
        <v>1000.0</v>
      </c>
      <c r="D2" s="8">
        <v>850.0</v>
      </c>
      <c r="E2" s="7" t="s">
        <v>14</v>
      </c>
      <c r="F2" s="9" t="s">
        <v>15</v>
      </c>
      <c r="G2" s="9" t="s">
        <v>16</v>
      </c>
      <c r="H2" s="10"/>
      <c r="I2" s="11">
        <v>46028.0</v>
      </c>
      <c r="J2" s="11">
        <v>46032.0</v>
      </c>
      <c r="K2" s="11">
        <v>46033.0</v>
      </c>
      <c r="L2" s="11">
        <v>46039.0</v>
      </c>
    </row>
    <row r="3">
      <c r="A3" s="6" t="s">
        <v>17</v>
      </c>
      <c r="B3" s="7" t="s">
        <v>18</v>
      </c>
      <c r="C3" s="8">
        <v>399.0</v>
      </c>
      <c r="D3" s="8">
        <v>214.0</v>
      </c>
      <c r="E3" s="7" t="s">
        <v>19</v>
      </c>
      <c r="F3" s="12" t="s">
        <v>20</v>
      </c>
      <c r="G3" s="9" t="s">
        <v>21</v>
      </c>
      <c r="H3" s="10"/>
      <c r="I3" s="11">
        <v>46024.0</v>
      </c>
      <c r="J3" s="11">
        <v>46030.0</v>
      </c>
      <c r="K3" s="11">
        <v>46031.0</v>
      </c>
      <c r="L3" s="11">
        <v>46039.0</v>
      </c>
    </row>
    <row r="4">
      <c r="A4" s="6" t="s">
        <v>17</v>
      </c>
      <c r="B4" s="7" t="s">
        <v>22</v>
      </c>
      <c r="C4" s="8">
        <v>299.0</v>
      </c>
      <c r="D4" s="8">
        <v>188.0</v>
      </c>
      <c r="E4" s="7" t="s">
        <v>23</v>
      </c>
      <c r="F4" s="12" t="s">
        <v>24</v>
      </c>
      <c r="G4" s="9" t="s">
        <v>25</v>
      </c>
      <c r="H4" s="10"/>
      <c r="I4" s="11">
        <v>46024.0</v>
      </c>
      <c r="J4" s="11">
        <v>46030.0</v>
      </c>
      <c r="K4" s="11">
        <v>46031.0</v>
      </c>
      <c r="L4" s="11">
        <v>46039.0</v>
      </c>
    </row>
    <row r="5">
      <c r="A5" s="6" t="s">
        <v>17</v>
      </c>
      <c r="B5" s="7" t="s">
        <v>26</v>
      </c>
      <c r="C5" s="8">
        <v>3290.0</v>
      </c>
      <c r="D5" s="8">
        <v>2850.0</v>
      </c>
      <c r="E5" s="7" t="s">
        <v>27</v>
      </c>
      <c r="F5" s="12" t="s">
        <v>28</v>
      </c>
      <c r="G5" s="9" t="s">
        <v>29</v>
      </c>
      <c r="H5" s="10"/>
      <c r="I5" s="11">
        <v>46024.0</v>
      </c>
      <c r="J5" s="11">
        <v>46030.0</v>
      </c>
      <c r="K5" s="11">
        <v>46031.0</v>
      </c>
      <c r="L5" s="11">
        <v>46039.0</v>
      </c>
    </row>
    <row r="6">
      <c r="A6" s="6" t="s">
        <v>17</v>
      </c>
      <c r="B6" s="7" t="s">
        <v>30</v>
      </c>
      <c r="C6" s="8">
        <v>325.0</v>
      </c>
      <c r="D6" s="8">
        <v>272.0</v>
      </c>
      <c r="E6" s="7" t="s">
        <v>31</v>
      </c>
      <c r="F6" s="12" t="s">
        <v>32</v>
      </c>
      <c r="G6" s="9" t="s">
        <v>33</v>
      </c>
      <c r="H6" s="10"/>
      <c r="I6" s="11">
        <v>46024.0</v>
      </c>
      <c r="J6" s="11">
        <v>46030.0</v>
      </c>
      <c r="K6" s="11">
        <v>46031.0</v>
      </c>
      <c r="L6" s="11">
        <v>46039.0</v>
      </c>
    </row>
    <row r="7">
      <c r="A7" s="6" t="s">
        <v>17</v>
      </c>
      <c r="B7" s="7" t="s">
        <v>34</v>
      </c>
      <c r="C7" s="8">
        <v>990.0</v>
      </c>
      <c r="D7" s="8">
        <v>390.0</v>
      </c>
      <c r="E7" s="7" t="s">
        <v>35</v>
      </c>
      <c r="F7" s="12" t="s">
        <v>36</v>
      </c>
      <c r="G7" s="9" t="s">
        <v>37</v>
      </c>
      <c r="H7" s="10"/>
      <c r="I7" s="11">
        <v>46024.0</v>
      </c>
      <c r="J7" s="11">
        <v>46030.0</v>
      </c>
      <c r="K7" s="11">
        <v>46031.0</v>
      </c>
      <c r="L7" s="11">
        <v>46039.0</v>
      </c>
    </row>
    <row r="8">
      <c r="A8" s="6" t="s">
        <v>17</v>
      </c>
      <c r="B8" s="7" t="s">
        <v>38</v>
      </c>
      <c r="C8" s="8">
        <v>159.0</v>
      </c>
      <c r="D8" s="8">
        <v>99.0</v>
      </c>
      <c r="E8" s="7" t="s">
        <v>39</v>
      </c>
      <c r="F8" s="12" t="s">
        <v>40</v>
      </c>
      <c r="G8" s="9" t="s">
        <v>41</v>
      </c>
      <c r="H8" s="10"/>
      <c r="I8" s="11">
        <v>46024.0</v>
      </c>
      <c r="J8" s="11">
        <v>46030.0</v>
      </c>
      <c r="K8" s="11">
        <v>46031.0</v>
      </c>
      <c r="L8" s="11">
        <v>46039.0</v>
      </c>
    </row>
    <row r="9">
      <c r="A9" s="6" t="s">
        <v>17</v>
      </c>
      <c r="B9" s="13" t="s">
        <v>42</v>
      </c>
      <c r="C9" s="8">
        <v>32.0</v>
      </c>
      <c r="D9" s="8">
        <v>30.0</v>
      </c>
      <c r="E9" s="7" t="s">
        <v>43</v>
      </c>
      <c r="F9" s="12" t="s">
        <v>44</v>
      </c>
      <c r="G9" s="9" t="s">
        <v>45</v>
      </c>
      <c r="H9" s="10"/>
      <c r="I9" s="11">
        <v>46024.0</v>
      </c>
      <c r="J9" s="11">
        <v>46030.0</v>
      </c>
      <c r="K9" s="11">
        <v>46031.0</v>
      </c>
      <c r="L9" s="11">
        <v>46039.0</v>
      </c>
    </row>
    <row r="10">
      <c r="A10" s="6" t="s">
        <v>17</v>
      </c>
      <c r="B10" s="7" t="s">
        <v>46</v>
      </c>
      <c r="C10" s="8">
        <v>78.0</v>
      </c>
      <c r="D10" s="8">
        <v>70.0</v>
      </c>
      <c r="E10" s="7" t="s">
        <v>47</v>
      </c>
      <c r="F10" s="12" t="s">
        <v>48</v>
      </c>
      <c r="G10" s="9" t="s">
        <v>49</v>
      </c>
      <c r="H10" s="10"/>
      <c r="I10" s="11">
        <v>46024.0</v>
      </c>
      <c r="J10" s="11">
        <v>46030.0</v>
      </c>
      <c r="K10" s="11">
        <v>46031.0</v>
      </c>
      <c r="L10" s="11">
        <v>46039.0</v>
      </c>
    </row>
    <row r="11">
      <c r="A11" s="6" t="s">
        <v>17</v>
      </c>
      <c r="B11" s="7" t="s">
        <v>50</v>
      </c>
      <c r="C11" s="8">
        <v>30.0</v>
      </c>
      <c r="D11" s="8">
        <v>29.0</v>
      </c>
      <c r="E11" s="7" t="s">
        <v>51</v>
      </c>
      <c r="F11" s="12" t="s">
        <v>52</v>
      </c>
      <c r="G11" s="9" t="s">
        <v>53</v>
      </c>
      <c r="H11" s="10"/>
      <c r="I11" s="11">
        <v>46024.0</v>
      </c>
      <c r="J11" s="11">
        <v>46030.0</v>
      </c>
      <c r="K11" s="11">
        <v>46031.0</v>
      </c>
      <c r="L11" s="11">
        <v>46039.0</v>
      </c>
    </row>
    <row r="12">
      <c r="A12" s="6" t="s">
        <v>17</v>
      </c>
      <c r="B12" s="7" t="s">
        <v>54</v>
      </c>
      <c r="C12" s="8">
        <v>450.0</v>
      </c>
      <c r="D12" s="8">
        <v>345.0</v>
      </c>
      <c r="E12" s="7" t="s">
        <v>55</v>
      </c>
      <c r="F12" s="12" t="s">
        <v>56</v>
      </c>
      <c r="G12" s="9" t="s">
        <v>57</v>
      </c>
      <c r="H12" s="10"/>
      <c r="I12" s="11">
        <v>46024.0</v>
      </c>
      <c r="J12" s="11">
        <v>46030.0</v>
      </c>
      <c r="K12" s="11">
        <v>46031.0</v>
      </c>
      <c r="L12" s="11">
        <v>46039.0</v>
      </c>
    </row>
    <row r="13">
      <c r="A13" s="6" t="s">
        <v>17</v>
      </c>
      <c r="B13" s="7" t="s">
        <v>58</v>
      </c>
      <c r="C13" s="8">
        <v>208.0</v>
      </c>
      <c r="D13" s="8">
        <v>180.0</v>
      </c>
      <c r="E13" s="7" t="s">
        <v>59</v>
      </c>
      <c r="F13" s="12" t="s">
        <v>60</v>
      </c>
      <c r="G13" s="9" t="s">
        <v>61</v>
      </c>
      <c r="H13" s="10"/>
      <c r="I13" s="11">
        <v>46024.0</v>
      </c>
      <c r="J13" s="11">
        <v>46030.0</v>
      </c>
      <c r="K13" s="11">
        <v>46031.0</v>
      </c>
      <c r="L13" s="11">
        <v>46039.0</v>
      </c>
    </row>
    <row r="14">
      <c r="A14" s="6" t="s">
        <v>17</v>
      </c>
      <c r="B14" s="7" t="s">
        <v>62</v>
      </c>
      <c r="C14" s="8">
        <v>230.0</v>
      </c>
      <c r="D14" s="8">
        <v>200.0</v>
      </c>
      <c r="E14" s="7" t="s">
        <v>63</v>
      </c>
      <c r="F14" s="12" t="s">
        <v>64</v>
      </c>
      <c r="G14" s="9" t="s">
        <v>65</v>
      </c>
      <c r="H14" s="10"/>
      <c r="I14" s="11">
        <v>46024.0</v>
      </c>
      <c r="J14" s="11">
        <v>46030.0</v>
      </c>
      <c r="K14" s="11">
        <v>46031.0</v>
      </c>
      <c r="L14" s="11">
        <v>46039.0</v>
      </c>
    </row>
    <row r="15">
      <c r="A15" s="6" t="s">
        <v>17</v>
      </c>
      <c r="B15" s="7" t="s">
        <v>66</v>
      </c>
      <c r="C15" s="8">
        <v>75.0</v>
      </c>
      <c r="D15" s="8">
        <v>65.0</v>
      </c>
      <c r="E15" s="7" t="s">
        <v>67</v>
      </c>
      <c r="F15" s="12" t="s">
        <v>68</v>
      </c>
      <c r="G15" s="9" t="s">
        <v>69</v>
      </c>
      <c r="H15" s="10"/>
      <c r="I15" s="11">
        <v>46024.0</v>
      </c>
      <c r="J15" s="11">
        <v>46030.0</v>
      </c>
      <c r="K15" s="11">
        <v>46031.0</v>
      </c>
      <c r="L15" s="11">
        <v>46039.0</v>
      </c>
    </row>
    <row r="16">
      <c r="A16" s="6" t="s">
        <v>12</v>
      </c>
      <c r="B16" s="14" t="s">
        <v>70</v>
      </c>
      <c r="C16" s="15">
        <v>250.0</v>
      </c>
      <c r="D16" s="15">
        <v>170.0</v>
      </c>
      <c r="E16" s="16" t="s">
        <v>71</v>
      </c>
      <c r="F16" s="12" t="s">
        <v>72</v>
      </c>
      <c r="G16" s="12" t="s">
        <v>73</v>
      </c>
      <c r="H16" s="17">
        <v>5.0</v>
      </c>
      <c r="I16" s="11">
        <v>46031.0</v>
      </c>
      <c r="J16" s="11">
        <v>46037.0</v>
      </c>
      <c r="K16" s="11">
        <v>46038.0</v>
      </c>
      <c r="L16" s="11">
        <v>46046.0</v>
      </c>
    </row>
    <row r="17">
      <c r="A17" s="6" t="s">
        <v>12</v>
      </c>
      <c r="B17" s="14" t="s">
        <v>74</v>
      </c>
      <c r="C17" s="15">
        <v>375.0</v>
      </c>
      <c r="D17" s="15">
        <v>200.0</v>
      </c>
      <c r="E17" s="14" t="s">
        <v>75</v>
      </c>
      <c r="F17" s="12" t="s">
        <v>76</v>
      </c>
      <c r="G17" s="12" t="s">
        <v>77</v>
      </c>
      <c r="H17" s="17">
        <v>5.0</v>
      </c>
      <c r="I17" s="11">
        <v>46031.0</v>
      </c>
      <c r="J17" s="11">
        <v>46037.0</v>
      </c>
      <c r="K17" s="11">
        <v>46038.0</v>
      </c>
      <c r="L17" s="11">
        <v>46046.0</v>
      </c>
    </row>
    <row r="18">
      <c r="A18" s="6" t="s">
        <v>12</v>
      </c>
      <c r="B18" s="14" t="s">
        <v>78</v>
      </c>
      <c r="C18" s="15">
        <v>375.0</v>
      </c>
      <c r="D18" s="15">
        <v>200.0</v>
      </c>
      <c r="E18" s="14" t="s">
        <v>79</v>
      </c>
      <c r="F18" s="12" t="s">
        <v>80</v>
      </c>
      <c r="G18" s="12" t="s">
        <v>81</v>
      </c>
      <c r="H18" s="17">
        <v>5.0</v>
      </c>
      <c r="I18" s="11">
        <v>46031.0</v>
      </c>
      <c r="J18" s="11">
        <v>46037.0</v>
      </c>
      <c r="K18" s="11">
        <v>46038.0</v>
      </c>
      <c r="L18" s="11">
        <v>46046.0</v>
      </c>
    </row>
    <row r="19">
      <c r="A19" s="6" t="s">
        <v>12</v>
      </c>
      <c r="B19" s="14" t="s">
        <v>82</v>
      </c>
      <c r="C19" s="15">
        <v>49.0</v>
      </c>
      <c r="D19" s="15">
        <v>34.0</v>
      </c>
      <c r="E19" s="14" t="s">
        <v>83</v>
      </c>
      <c r="F19" s="12" t="s">
        <v>84</v>
      </c>
      <c r="G19" s="12" t="s">
        <v>85</v>
      </c>
      <c r="H19" s="17">
        <v>5.0</v>
      </c>
      <c r="I19" s="11">
        <v>46031.0</v>
      </c>
      <c r="J19" s="11">
        <v>46037.0</v>
      </c>
      <c r="K19" s="11">
        <v>46038.0</v>
      </c>
      <c r="L19" s="11">
        <v>46046.0</v>
      </c>
    </row>
    <row r="20">
      <c r="A20" s="6" t="s">
        <v>12</v>
      </c>
      <c r="B20" s="14" t="s">
        <v>86</v>
      </c>
      <c r="C20" s="15">
        <v>700.0</v>
      </c>
      <c r="D20" s="15">
        <v>250.0</v>
      </c>
      <c r="E20" s="14" t="s">
        <v>87</v>
      </c>
      <c r="F20" s="12" t="s">
        <v>88</v>
      </c>
      <c r="G20" s="12" t="s">
        <v>89</v>
      </c>
      <c r="H20" s="17">
        <v>5.0</v>
      </c>
      <c r="I20" s="11">
        <v>46031.0</v>
      </c>
      <c r="J20" s="11">
        <v>46037.0</v>
      </c>
      <c r="K20" s="11">
        <v>46038.0</v>
      </c>
      <c r="L20" s="11">
        <v>46046.0</v>
      </c>
    </row>
    <row r="21">
      <c r="A21" s="6" t="s">
        <v>12</v>
      </c>
      <c r="B21" s="14" t="s">
        <v>90</v>
      </c>
      <c r="C21" s="15">
        <v>252.0</v>
      </c>
      <c r="D21" s="15">
        <v>220.0</v>
      </c>
      <c r="E21" s="14" t="s">
        <v>91</v>
      </c>
      <c r="F21" s="12" t="s">
        <v>92</v>
      </c>
      <c r="G21" s="12" t="s">
        <v>93</v>
      </c>
      <c r="H21" s="17">
        <v>5.0</v>
      </c>
      <c r="I21" s="11">
        <v>46031.0</v>
      </c>
      <c r="J21" s="11">
        <v>46037.0</v>
      </c>
      <c r="K21" s="11">
        <v>46038.0</v>
      </c>
      <c r="L21" s="11">
        <v>46046.0</v>
      </c>
    </row>
    <row r="22">
      <c r="A22" s="6" t="s">
        <v>12</v>
      </c>
      <c r="B22" s="14" t="s">
        <v>94</v>
      </c>
      <c r="C22" s="15">
        <v>198.0</v>
      </c>
      <c r="D22" s="15">
        <v>148.0</v>
      </c>
      <c r="E22" s="14" t="s">
        <v>95</v>
      </c>
      <c r="F22" s="12" t="s">
        <v>96</v>
      </c>
      <c r="G22" s="12" t="s">
        <v>97</v>
      </c>
      <c r="H22" s="17">
        <v>5.0</v>
      </c>
      <c r="I22" s="11">
        <v>46031.0</v>
      </c>
      <c r="J22" s="11">
        <v>46037.0</v>
      </c>
      <c r="K22" s="11">
        <v>46038.0</v>
      </c>
      <c r="L22" s="11">
        <v>46046.0</v>
      </c>
    </row>
    <row r="23">
      <c r="A23" s="6" t="s">
        <v>12</v>
      </c>
      <c r="B23" s="14" t="s">
        <v>98</v>
      </c>
      <c r="C23" s="15">
        <v>198.0</v>
      </c>
      <c r="D23" s="15">
        <v>148.0</v>
      </c>
      <c r="E23" s="14" t="s">
        <v>95</v>
      </c>
      <c r="F23" s="12" t="s">
        <v>99</v>
      </c>
      <c r="G23" s="12" t="s">
        <v>100</v>
      </c>
      <c r="H23" s="17">
        <v>5.0</v>
      </c>
      <c r="I23" s="11">
        <v>46031.0</v>
      </c>
      <c r="J23" s="11">
        <v>46037.0</v>
      </c>
      <c r="K23" s="11">
        <v>46038.0</v>
      </c>
      <c r="L23" s="11">
        <v>46046.0</v>
      </c>
    </row>
    <row r="24">
      <c r="A24" s="6" t="s">
        <v>12</v>
      </c>
      <c r="B24" s="14" t="s">
        <v>101</v>
      </c>
      <c r="C24" s="15">
        <v>206.0</v>
      </c>
      <c r="D24" s="15">
        <v>160.0</v>
      </c>
      <c r="E24" s="14" t="s">
        <v>95</v>
      </c>
      <c r="F24" s="12" t="s">
        <v>102</v>
      </c>
      <c r="G24" s="12" t="s">
        <v>103</v>
      </c>
      <c r="H24" s="17">
        <v>5.0</v>
      </c>
      <c r="I24" s="11">
        <v>46031.0</v>
      </c>
      <c r="J24" s="11">
        <v>46037.0</v>
      </c>
      <c r="K24" s="11">
        <v>46038.0</v>
      </c>
      <c r="L24" s="11">
        <v>46046.0</v>
      </c>
    </row>
    <row r="25">
      <c r="A25" s="6" t="s">
        <v>12</v>
      </c>
      <c r="B25" s="14" t="s">
        <v>104</v>
      </c>
      <c r="C25" s="15">
        <v>132.0</v>
      </c>
      <c r="D25" s="15">
        <v>80.0</v>
      </c>
      <c r="E25" s="14" t="s">
        <v>105</v>
      </c>
      <c r="F25" s="12" t="s">
        <v>106</v>
      </c>
      <c r="G25" s="12" t="s">
        <v>107</v>
      </c>
      <c r="H25" s="17">
        <v>5.0</v>
      </c>
      <c r="I25" s="11">
        <v>46031.0</v>
      </c>
      <c r="J25" s="11">
        <v>46037.0</v>
      </c>
      <c r="K25" s="11">
        <v>46038.0</v>
      </c>
      <c r="L25" s="11">
        <v>46046.0</v>
      </c>
    </row>
    <row r="26">
      <c r="A26" s="6" t="s">
        <v>12</v>
      </c>
      <c r="B26" s="14" t="s">
        <v>108</v>
      </c>
      <c r="C26" s="15">
        <v>180.0</v>
      </c>
      <c r="D26" s="15">
        <v>135.0</v>
      </c>
      <c r="E26" s="14" t="s">
        <v>109</v>
      </c>
      <c r="F26" s="12" t="s">
        <v>110</v>
      </c>
      <c r="G26" s="12" t="s">
        <v>111</v>
      </c>
      <c r="H26" s="17">
        <v>5.0</v>
      </c>
      <c r="I26" s="11">
        <v>46031.0</v>
      </c>
      <c r="J26" s="11">
        <v>46037.0</v>
      </c>
      <c r="K26" s="11">
        <v>46038.0</v>
      </c>
      <c r="L26" s="11">
        <v>46046.0</v>
      </c>
    </row>
    <row r="27">
      <c r="A27" s="6" t="s">
        <v>12</v>
      </c>
      <c r="B27" s="14" t="s">
        <v>112</v>
      </c>
      <c r="C27" s="15">
        <v>270.0</v>
      </c>
      <c r="D27" s="15">
        <v>250.0</v>
      </c>
      <c r="E27" s="14" t="s">
        <v>113</v>
      </c>
      <c r="F27" s="12" t="s">
        <v>114</v>
      </c>
      <c r="G27" s="12" t="s">
        <v>115</v>
      </c>
      <c r="H27" s="17">
        <v>5.0</v>
      </c>
      <c r="I27" s="11">
        <v>46031.0</v>
      </c>
      <c r="J27" s="11">
        <v>46037.0</v>
      </c>
      <c r="K27" s="11">
        <v>46038.0</v>
      </c>
      <c r="L27" s="11">
        <v>46046.0</v>
      </c>
    </row>
    <row r="28">
      <c r="A28" s="6" t="s">
        <v>12</v>
      </c>
      <c r="B28" s="14" t="s">
        <v>116</v>
      </c>
      <c r="C28" s="15">
        <v>32.0</v>
      </c>
      <c r="D28" s="15">
        <v>30.0</v>
      </c>
      <c r="E28" s="14" t="s">
        <v>43</v>
      </c>
      <c r="F28" s="12" t="s">
        <v>117</v>
      </c>
      <c r="G28" s="12" t="s">
        <v>118</v>
      </c>
      <c r="H28" s="17">
        <v>5.0</v>
      </c>
      <c r="I28" s="11">
        <v>46031.0</v>
      </c>
      <c r="J28" s="11">
        <v>46037.0</v>
      </c>
      <c r="K28" s="11">
        <v>46038.0</v>
      </c>
      <c r="L28" s="11">
        <v>46046.0</v>
      </c>
    </row>
    <row r="29">
      <c r="A29" s="6" t="s">
        <v>12</v>
      </c>
      <c r="B29" s="14" t="s">
        <v>119</v>
      </c>
      <c r="C29" s="15">
        <v>183.0</v>
      </c>
      <c r="D29" s="15">
        <v>125.0</v>
      </c>
      <c r="E29" s="14" t="s">
        <v>120</v>
      </c>
      <c r="F29" s="12" t="s">
        <v>121</v>
      </c>
      <c r="G29" s="12" t="s">
        <v>122</v>
      </c>
      <c r="H29" s="17">
        <v>5.0</v>
      </c>
      <c r="I29" s="11">
        <v>46031.0</v>
      </c>
      <c r="J29" s="11">
        <v>46037.0</v>
      </c>
      <c r="K29" s="11">
        <v>46038.0</v>
      </c>
      <c r="L29" s="11">
        <v>46046.0</v>
      </c>
    </row>
    <row r="30">
      <c r="A30" s="6" t="s">
        <v>12</v>
      </c>
      <c r="B30" s="14" t="s">
        <v>123</v>
      </c>
      <c r="C30" s="15">
        <v>300.0</v>
      </c>
      <c r="D30" s="15">
        <v>127.0</v>
      </c>
      <c r="E30" s="14" t="s">
        <v>124</v>
      </c>
      <c r="F30" s="12" t="s">
        <v>125</v>
      </c>
      <c r="G30" s="12" t="s">
        <v>126</v>
      </c>
      <c r="H30" s="17">
        <v>5.0</v>
      </c>
      <c r="I30" s="11">
        <v>46031.0</v>
      </c>
      <c r="J30" s="11">
        <v>46037.0</v>
      </c>
      <c r="K30" s="11">
        <v>46038.0</v>
      </c>
      <c r="L30" s="11">
        <v>46046.0</v>
      </c>
    </row>
    <row r="31">
      <c r="A31" s="6" t="s">
        <v>12</v>
      </c>
      <c r="B31" s="14" t="s">
        <v>127</v>
      </c>
      <c r="C31" s="15">
        <v>185.0</v>
      </c>
      <c r="D31" s="15">
        <v>122.0</v>
      </c>
      <c r="E31" s="14" t="s">
        <v>128</v>
      </c>
      <c r="F31" s="12" t="s">
        <v>129</v>
      </c>
      <c r="G31" s="12" t="s">
        <v>130</v>
      </c>
      <c r="H31" s="17">
        <v>5.0</v>
      </c>
      <c r="I31" s="11">
        <v>46031.0</v>
      </c>
      <c r="J31" s="11">
        <v>46037.0</v>
      </c>
      <c r="K31" s="11">
        <v>46038.0</v>
      </c>
      <c r="L31" s="11">
        <v>46046.0</v>
      </c>
    </row>
    <row r="32">
      <c r="A32" s="6" t="s">
        <v>12</v>
      </c>
      <c r="B32" s="14" t="s">
        <v>131</v>
      </c>
      <c r="C32" s="15">
        <v>130.0</v>
      </c>
      <c r="D32" s="15">
        <v>89.0</v>
      </c>
      <c r="E32" s="14" t="s">
        <v>132</v>
      </c>
      <c r="F32" s="12" t="s">
        <v>133</v>
      </c>
      <c r="G32" s="12" t="s">
        <v>134</v>
      </c>
      <c r="H32" s="17">
        <v>5.0</v>
      </c>
      <c r="I32" s="11">
        <v>46031.0</v>
      </c>
      <c r="J32" s="11">
        <v>46037.0</v>
      </c>
      <c r="K32" s="11">
        <v>46038.0</v>
      </c>
      <c r="L32" s="11">
        <v>46046.0</v>
      </c>
    </row>
    <row r="33">
      <c r="A33" s="6" t="s">
        <v>135</v>
      </c>
      <c r="B33" s="7" t="s">
        <v>136</v>
      </c>
      <c r="C33" s="8">
        <v>700.0</v>
      </c>
      <c r="D33" s="8">
        <v>660.0</v>
      </c>
      <c r="E33" s="7" t="s">
        <v>137</v>
      </c>
      <c r="F33" s="9" t="s">
        <v>138</v>
      </c>
      <c r="G33" s="18" t="s">
        <v>139</v>
      </c>
      <c r="H33" s="8">
        <v>10.0</v>
      </c>
      <c r="I33" s="11">
        <v>46038.0</v>
      </c>
      <c r="J33" s="11">
        <v>46044.0</v>
      </c>
      <c r="K33" s="11">
        <v>46045.0</v>
      </c>
      <c r="L33" s="11">
        <v>46053.0</v>
      </c>
    </row>
    <row r="34">
      <c r="A34" s="6" t="s">
        <v>135</v>
      </c>
      <c r="B34" s="7" t="s">
        <v>140</v>
      </c>
      <c r="C34" s="8">
        <v>240.0</v>
      </c>
      <c r="D34" s="8">
        <v>130.0</v>
      </c>
      <c r="E34" s="7" t="s">
        <v>141</v>
      </c>
      <c r="F34" s="9" t="s">
        <v>142</v>
      </c>
      <c r="G34" s="18" t="s">
        <v>143</v>
      </c>
      <c r="H34" s="8">
        <v>10.0</v>
      </c>
      <c r="I34" s="11">
        <v>46038.0</v>
      </c>
      <c r="J34" s="11">
        <v>46044.0</v>
      </c>
      <c r="K34" s="11">
        <v>46045.0</v>
      </c>
      <c r="L34" s="11">
        <v>46053.0</v>
      </c>
    </row>
    <row r="35">
      <c r="A35" s="6" t="s">
        <v>135</v>
      </c>
      <c r="B35" s="7" t="s">
        <v>144</v>
      </c>
      <c r="C35" s="8">
        <v>130.0</v>
      </c>
      <c r="D35" s="8">
        <v>99.0</v>
      </c>
      <c r="E35" s="7" t="s">
        <v>145</v>
      </c>
      <c r="F35" s="19" t="s">
        <v>146</v>
      </c>
      <c r="G35" s="18" t="s">
        <v>147</v>
      </c>
      <c r="H35" s="8">
        <v>30.0</v>
      </c>
      <c r="I35" s="11">
        <v>46038.0</v>
      </c>
      <c r="J35" s="11">
        <v>46044.0</v>
      </c>
      <c r="K35" s="11">
        <v>46045.0</v>
      </c>
      <c r="L35" s="11">
        <v>46053.0</v>
      </c>
    </row>
    <row r="36">
      <c r="A36" s="6" t="s">
        <v>135</v>
      </c>
      <c r="B36" s="7" t="s">
        <v>148</v>
      </c>
      <c r="C36" s="8">
        <v>75.0</v>
      </c>
      <c r="D36" s="8">
        <v>65.0</v>
      </c>
      <c r="E36" s="7" t="s">
        <v>149</v>
      </c>
      <c r="F36" s="9" t="s">
        <v>150</v>
      </c>
      <c r="G36" s="18" t="s">
        <v>151</v>
      </c>
      <c r="H36" s="8">
        <v>12.0</v>
      </c>
      <c r="I36" s="11">
        <v>46038.0</v>
      </c>
      <c r="J36" s="11">
        <v>46044.0</v>
      </c>
      <c r="K36" s="11">
        <v>46045.0</v>
      </c>
      <c r="L36" s="11">
        <v>46053.0</v>
      </c>
    </row>
    <row r="37">
      <c r="A37" s="6" t="s">
        <v>135</v>
      </c>
      <c r="B37" s="7" t="s">
        <v>152</v>
      </c>
      <c r="C37" s="8">
        <v>33.0</v>
      </c>
      <c r="D37" s="8">
        <v>26.0</v>
      </c>
      <c r="E37" s="7" t="s">
        <v>153</v>
      </c>
      <c r="F37" s="9" t="s">
        <v>154</v>
      </c>
      <c r="G37" s="18" t="s">
        <v>155</v>
      </c>
      <c r="H37" s="8">
        <v>36.0</v>
      </c>
      <c r="I37" s="11">
        <v>46038.0</v>
      </c>
      <c r="J37" s="11">
        <v>46044.0</v>
      </c>
      <c r="K37" s="11">
        <v>46045.0</v>
      </c>
      <c r="L37" s="11">
        <v>46053.0</v>
      </c>
    </row>
    <row r="38">
      <c r="A38" s="6" t="s">
        <v>135</v>
      </c>
      <c r="B38" s="7" t="s">
        <v>156</v>
      </c>
      <c r="C38" s="8">
        <v>128.0</v>
      </c>
      <c r="D38" s="8">
        <v>116.0</v>
      </c>
      <c r="E38" s="7" t="s">
        <v>157</v>
      </c>
      <c r="F38" s="9" t="s">
        <v>158</v>
      </c>
      <c r="G38" s="18" t="s">
        <v>159</v>
      </c>
      <c r="H38" s="8">
        <v>9.0</v>
      </c>
      <c r="I38" s="11">
        <v>46038.0</v>
      </c>
      <c r="J38" s="11">
        <v>46044.0</v>
      </c>
      <c r="K38" s="11">
        <v>46045.0</v>
      </c>
      <c r="L38" s="11">
        <v>46053.0</v>
      </c>
    </row>
    <row r="39">
      <c r="A39" s="6" t="s">
        <v>135</v>
      </c>
      <c r="B39" s="7" t="s">
        <v>160</v>
      </c>
      <c r="C39" s="8">
        <v>237.0</v>
      </c>
      <c r="D39" s="8">
        <v>174.0</v>
      </c>
      <c r="E39" s="7" t="s">
        <v>161</v>
      </c>
      <c r="F39" s="9" t="s">
        <v>162</v>
      </c>
      <c r="G39" s="18" t="s">
        <v>163</v>
      </c>
      <c r="H39" s="8">
        <v>8.0</v>
      </c>
      <c r="I39" s="11">
        <v>46038.0</v>
      </c>
      <c r="J39" s="11">
        <v>46044.0</v>
      </c>
      <c r="K39" s="11">
        <v>46045.0</v>
      </c>
      <c r="L39" s="11">
        <v>46053.0</v>
      </c>
    </row>
    <row r="40">
      <c r="A40" s="6" t="s">
        <v>135</v>
      </c>
      <c r="B40" s="7" t="s">
        <v>164</v>
      </c>
      <c r="C40" s="8">
        <v>237.0</v>
      </c>
      <c r="D40" s="8">
        <v>174.0</v>
      </c>
      <c r="E40" s="7" t="s">
        <v>165</v>
      </c>
      <c r="F40" s="9" t="s">
        <v>166</v>
      </c>
      <c r="G40" s="18" t="s">
        <v>167</v>
      </c>
      <c r="H40" s="8">
        <v>8.0</v>
      </c>
      <c r="I40" s="11">
        <v>46038.0</v>
      </c>
      <c r="J40" s="11">
        <v>46044.0</v>
      </c>
      <c r="K40" s="11">
        <v>46045.0</v>
      </c>
      <c r="L40" s="11">
        <v>46053.0</v>
      </c>
    </row>
    <row r="41">
      <c r="A41" s="6" t="s">
        <v>135</v>
      </c>
      <c r="B41" s="7" t="s">
        <v>168</v>
      </c>
      <c r="C41" s="8">
        <v>198.0</v>
      </c>
      <c r="D41" s="8">
        <v>148.0</v>
      </c>
      <c r="E41" s="7" t="s">
        <v>169</v>
      </c>
      <c r="F41" s="9" t="s">
        <v>170</v>
      </c>
      <c r="G41" s="18" t="s">
        <v>171</v>
      </c>
      <c r="H41" s="8">
        <v>30.0</v>
      </c>
      <c r="I41" s="11">
        <v>46038.0</v>
      </c>
      <c r="J41" s="11">
        <v>46044.0</v>
      </c>
      <c r="K41" s="11">
        <v>46045.0</v>
      </c>
      <c r="L41" s="11">
        <v>46053.0</v>
      </c>
    </row>
    <row r="42">
      <c r="A42" s="6" t="s">
        <v>135</v>
      </c>
      <c r="B42" s="7" t="s">
        <v>172</v>
      </c>
      <c r="C42" s="8">
        <v>206.0</v>
      </c>
      <c r="D42" s="8">
        <v>160.0</v>
      </c>
      <c r="E42" s="7" t="s">
        <v>173</v>
      </c>
      <c r="F42" s="9" t="s">
        <v>174</v>
      </c>
      <c r="G42" s="18" t="s">
        <v>175</v>
      </c>
      <c r="H42" s="8">
        <v>30.0</v>
      </c>
      <c r="I42" s="11">
        <v>46038.0</v>
      </c>
      <c r="J42" s="11">
        <v>46044.0</v>
      </c>
      <c r="K42" s="11">
        <v>46045.0</v>
      </c>
      <c r="L42" s="11">
        <v>46053.0</v>
      </c>
    </row>
    <row r="43">
      <c r="A43" s="6" t="s">
        <v>135</v>
      </c>
      <c r="B43" s="7" t="s">
        <v>176</v>
      </c>
      <c r="C43" s="8">
        <v>206.0</v>
      </c>
      <c r="D43" s="8">
        <v>160.0</v>
      </c>
      <c r="E43" s="7" t="s">
        <v>177</v>
      </c>
      <c r="F43" s="9" t="s">
        <v>178</v>
      </c>
      <c r="G43" s="18" t="s">
        <v>179</v>
      </c>
      <c r="H43" s="8">
        <v>30.0</v>
      </c>
      <c r="I43" s="11">
        <v>46038.0</v>
      </c>
      <c r="J43" s="11">
        <v>46044.0</v>
      </c>
      <c r="K43" s="11">
        <v>46045.0</v>
      </c>
      <c r="L43" s="11">
        <v>46053.0</v>
      </c>
    </row>
    <row r="44">
      <c r="A44" s="6" t="s">
        <v>135</v>
      </c>
      <c r="B44" s="7" t="s">
        <v>180</v>
      </c>
      <c r="C44" s="8">
        <v>79.0</v>
      </c>
      <c r="D44" s="8">
        <v>70.0</v>
      </c>
      <c r="E44" s="7" t="s">
        <v>181</v>
      </c>
      <c r="F44" s="9" t="s">
        <v>182</v>
      </c>
      <c r="G44" s="18" t="s">
        <v>183</v>
      </c>
      <c r="H44" s="8">
        <v>16.0</v>
      </c>
      <c r="I44" s="11">
        <v>46038.0</v>
      </c>
      <c r="J44" s="11">
        <v>46044.0</v>
      </c>
      <c r="K44" s="11">
        <v>46045.0</v>
      </c>
      <c r="L44" s="11">
        <v>46053.0</v>
      </c>
    </row>
    <row r="45">
      <c r="A45" s="6" t="s">
        <v>135</v>
      </c>
      <c r="B45" s="7" t="s">
        <v>184</v>
      </c>
      <c r="C45" s="8">
        <v>30.0</v>
      </c>
      <c r="D45" s="8">
        <v>26.0</v>
      </c>
      <c r="E45" s="7" t="s">
        <v>185</v>
      </c>
      <c r="F45" s="9" t="s">
        <v>186</v>
      </c>
      <c r="G45" s="18" t="s">
        <v>187</v>
      </c>
      <c r="H45" s="8">
        <v>36.0</v>
      </c>
      <c r="I45" s="11">
        <v>46038.0</v>
      </c>
      <c r="J45" s="11">
        <v>46044.0</v>
      </c>
      <c r="K45" s="11">
        <v>46045.0</v>
      </c>
      <c r="L45" s="11">
        <v>46053.0</v>
      </c>
    </row>
    <row r="46">
      <c r="A46" s="6" t="s">
        <v>135</v>
      </c>
      <c r="B46" s="7" t="s">
        <v>188</v>
      </c>
      <c r="C46" s="8">
        <v>1180.0</v>
      </c>
      <c r="D46" s="8">
        <v>390.0</v>
      </c>
      <c r="E46" s="20" t="s">
        <v>189</v>
      </c>
      <c r="F46" s="9" t="s">
        <v>190</v>
      </c>
      <c r="G46" s="18" t="s">
        <v>191</v>
      </c>
      <c r="H46" s="8">
        <v>12.0</v>
      </c>
      <c r="I46" s="11">
        <v>46038.0</v>
      </c>
      <c r="J46" s="11">
        <v>46044.0</v>
      </c>
      <c r="K46" s="11">
        <v>46045.0</v>
      </c>
      <c r="L46" s="11">
        <v>46053.0</v>
      </c>
    </row>
    <row r="47">
      <c r="A47" s="6" t="s">
        <v>192</v>
      </c>
      <c r="B47" s="20" t="s">
        <v>193</v>
      </c>
      <c r="C47" s="8">
        <v>1180.0</v>
      </c>
      <c r="D47" s="8">
        <v>390.0</v>
      </c>
      <c r="E47" s="20" t="s">
        <v>194</v>
      </c>
      <c r="F47" s="12" t="s">
        <v>106</v>
      </c>
      <c r="G47" s="18" t="s">
        <v>163</v>
      </c>
      <c r="H47" s="8">
        <v>12.0</v>
      </c>
      <c r="I47" s="11">
        <v>46045.0</v>
      </c>
      <c r="J47" s="11">
        <v>46051.0</v>
      </c>
      <c r="K47" s="11">
        <v>46052.0</v>
      </c>
      <c r="L47" s="11">
        <v>46053.0</v>
      </c>
    </row>
    <row r="48">
      <c r="A48" s="6" t="s">
        <v>192</v>
      </c>
      <c r="B48" s="20" t="s">
        <v>195</v>
      </c>
      <c r="C48" s="8">
        <v>1180.0</v>
      </c>
      <c r="D48" s="8">
        <v>390.0</v>
      </c>
      <c r="E48" s="20" t="s">
        <v>196</v>
      </c>
      <c r="F48" s="12" t="s">
        <v>110</v>
      </c>
      <c r="G48" s="18" t="s">
        <v>167</v>
      </c>
      <c r="H48" s="8">
        <v>12.0</v>
      </c>
      <c r="I48" s="11">
        <v>46045.0</v>
      </c>
      <c r="J48" s="11">
        <v>46051.0</v>
      </c>
      <c r="K48" s="11">
        <v>46052.0</v>
      </c>
      <c r="L48" s="11">
        <v>46053.0</v>
      </c>
    </row>
    <row r="49">
      <c r="A49" s="6" t="s">
        <v>192</v>
      </c>
      <c r="B49" s="20" t="s">
        <v>197</v>
      </c>
      <c r="C49" s="8">
        <v>1180.0</v>
      </c>
      <c r="D49" s="8">
        <v>390.0</v>
      </c>
      <c r="E49" s="20" t="s">
        <v>196</v>
      </c>
      <c r="F49" s="12" t="s">
        <v>114</v>
      </c>
      <c r="G49" s="18" t="s">
        <v>171</v>
      </c>
      <c r="H49" s="8">
        <v>12.0</v>
      </c>
      <c r="I49" s="11">
        <v>46045.0</v>
      </c>
      <c r="J49" s="11">
        <v>46051.0</v>
      </c>
      <c r="K49" s="11">
        <v>46052.0</v>
      </c>
      <c r="L49" s="11">
        <v>46053.0</v>
      </c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</hyperlinks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3" max="3" width="32.38"/>
    <col customWidth="1" min="4" max="4" width="31.75"/>
    <col customWidth="1" min="5" max="5" width="8.38"/>
    <col customWidth="1" min="6" max="6" width="18.25"/>
    <col customWidth="1" min="7" max="7" width="138.75"/>
  </cols>
  <sheetData>
    <row r="1">
      <c r="A1" s="22" t="s">
        <v>198</v>
      </c>
      <c r="B1" s="23" t="s">
        <v>199</v>
      </c>
      <c r="C1" s="24" t="s">
        <v>200</v>
      </c>
      <c r="D1" s="2" t="s">
        <v>201</v>
      </c>
      <c r="E1" s="2" t="s">
        <v>202</v>
      </c>
      <c r="F1" s="2" t="s">
        <v>203</v>
      </c>
      <c r="G1" s="2" t="s">
        <v>204</v>
      </c>
    </row>
    <row r="2" ht="16.5" customHeight="1">
      <c r="A2" s="22" t="s">
        <v>205</v>
      </c>
      <c r="B2" s="22">
        <v>2.0</v>
      </c>
      <c r="C2" s="22" t="s">
        <v>206</v>
      </c>
      <c r="D2" s="22" t="s">
        <v>206</v>
      </c>
      <c r="E2" s="22" t="s">
        <v>207</v>
      </c>
      <c r="F2" s="25">
        <v>46046.02491177083</v>
      </c>
      <c r="G2" s="22" t="s">
        <v>74</v>
      </c>
    </row>
    <row r="3">
      <c r="F3" s="25"/>
    </row>
    <row r="4">
      <c r="E4" s="25"/>
    </row>
    <row r="5">
      <c r="E5" s="25"/>
    </row>
    <row r="6">
      <c r="E6" s="25"/>
    </row>
    <row r="7">
      <c r="E7" s="25"/>
    </row>
    <row r="8">
      <c r="B8" s="21"/>
    </row>
    <row r="9">
      <c r="B9" s="21"/>
    </row>
    <row r="10">
      <c r="B10" s="21"/>
    </row>
    <row r="11">
      <c r="B11" s="21"/>
    </row>
    <row r="12">
      <c r="B12" s="21"/>
    </row>
    <row r="13">
      <c r="B13" s="21"/>
    </row>
    <row r="14">
      <c r="B14" s="21"/>
    </row>
    <row r="15">
      <c r="B15" s="21"/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25"/>
    <col customWidth="1" min="2" max="2" width="4.63"/>
    <col customWidth="1" min="3" max="3" width="19.0"/>
    <col customWidth="1" min="4" max="4" width="31.75"/>
    <col customWidth="1" min="5" max="5" width="24.88"/>
    <col customWidth="1" min="7" max="7" width="19.13"/>
  </cols>
  <sheetData>
    <row r="1">
      <c r="A1" s="2" t="s">
        <v>198</v>
      </c>
      <c r="B1" s="2" t="s">
        <v>208</v>
      </c>
      <c r="C1" s="2" t="s">
        <v>200</v>
      </c>
      <c r="D1" s="2" t="s">
        <v>209</v>
      </c>
      <c r="E1" s="2" t="s">
        <v>1</v>
      </c>
      <c r="F1" s="4" t="s">
        <v>210</v>
      </c>
      <c r="G1" s="2" t="s">
        <v>211</v>
      </c>
      <c r="H1" s="2" t="s">
        <v>212</v>
      </c>
    </row>
    <row r="2">
      <c r="A2" s="22" t="s">
        <v>213</v>
      </c>
      <c r="B2" s="22">
        <v>2.0</v>
      </c>
      <c r="C2" s="22" t="s">
        <v>206</v>
      </c>
      <c r="D2" s="22" t="s">
        <v>206</v>
      </c>
      <c r="E2" s="22" t="s">
        <v>193</v>
      </c>
      <c r="F2" s="26">
        <v>24.0</v>
      </c>
      <c r="G2" s="25">
        <v>46046.06662200231</v>
      </c>
      <c r="H2" s="22" t="s">
        <v>207</v>
      </c>
      <c r="I2" s="27" t="s">
        <v>214</v>
      </c>
    </row>
    <row r="3">
      <c r="A3" s="22" t="s">
        <v>215</v>
      </c>
      <c r="B3" s="22">
        <v>2.0</v>
      </c>
      <c r="C3" s="22" t="s">
        <v>206</v>
      </c>
      <c r="D3" s="22" t="s">
        <v>206</v>
      </c>
      <c r="E3" s="22" t="s">
        <v>195</v>
      </c>
      <c r="F3" s="26">
        <v>1.0</v>
      </c>
      <c r="G3" s="25">
        <v>46046.04064731482</v>
      </c>
      <c r="H3" s="22" t="s">
        <v>207</v>
      </c>
      <c r="I3" s="27" t="s">
        <v>214</v>
      </c>
    </row>
    <row r="4">
      <c r="A4" s="22" t="s">
        <v>213</v>
      </c>
      <c r="B4" s="22">
        <v>2.0</v>
      </c>
      <c r="C4" s="22" t="s">
        <v>206</v>
      </c>
      <c r="D4" s="22" t="s">
        <v>206</v>
      </c>
      <c r="E4" s="14" t="s">
        <v>123</v>
      </c>
      <c r="F4" s="22">
        <v>141.0</v>
      </c>
      <c r="G4" s="25">
        <v>46046.029772800925</v>
      </c>
      <c r="H4" s="22" t="s">
        <v>207</v>
      </c>
      <c r="I4" s="27" t="s">
        <v>214</v>
      </c>
    </row>
    <row r="5">
      <c r="A5" s="22" t="s">
        <v>213</v>
      </c>
      <c r="B5" s="22">
        <v>2.0</v>
      </c>
      <c r="C5" s="22" t="s">
        <v>206</v>
      </c>
      <c r="D5" s="22" t="s">
        <v>206</v>
      </c>
      <c r="E5" s="14" t="s">
        <v>116</v>
      </c>
      <c r="F5" s="22">
        <v>5.0</v>
      </c>
      <c r="G5" s="25">
        <v>46046.029772800925</v>
      </c>
      <c r="H5" s="22" t="s">
        <v>207</v>
      </c>
      <c r="I5" s="27" t="s">
        <v>214</v>
      </c>
    </row>
    <row r="6">
      <c r="A6" s="22" t="s">
        <v>213</v>
      </c>
      <c r="B6" s="22">
        <v>2.0</v>
      </c>
      <c r="C6" s="22" t="s">
        <v>206</v>
      </c>
      <c r="D6" s="22" t="s">
        <v>206</v>
      </c>
      <c r="E6" s="14" t="s">
        <v>119</v>
      </c>
      <c r="F6" s="22">
        <v>50.0</v>
      </c>
      <c r="G6" s="25">
        <v>46046.029772800925</v>
      </c>
      <c r="H6" s="22" t="s">
        <v>207</v>
      </c>
      <c r="I6" s="27" t="s">
        <v>214</v>
      </c>
    </row>
    <row r="7">
      <c r="G7" s="25"/>
    </row>
    <row r="8">
      <c r="G8" s="25"/>
    </row>
    <row r="9">
      <c r="G9" s="25"/>
    </row>
    <row r="10">
      <c r="G10" s="25"/>
    </row>
    <row r="11">
      <c r="G11" s="25"/>
    </row>
    <row r="12">
      <c r="G12" s="25"/>
    </row>
    <row r="13">
      <c r="G13" s="25"/>
    </row>
    <row r="14">
      <c r="A14" s="28"/>
      <c r="B14" s="28"/>
      <c r="C14" s="28"/>
      <c r="D14" s="28"/>
      <c r="E14" s="28"/>
      <c r="F14" s="28"/>
      <c r="G14" s="29"/>
    </row>
    <row r="15">
      <c r="G15" s="25"/>
    </row>
    <row r="16">
      <c r="G16" s="25"/>
    </row>
    <row r="17">
      <c r="G17" s="25"/>
    </row>
    <row r="18">
      <c r="G18" s="25"/>
    </row>
    <row r="19">
      <c r="G19" s="25"/>
    </row>
    <row r="20">
      <c r="G20" s="25"/>
    </row>
    <row r="21">
      <c r="G21" s="25"/>
    </row>
    <row r="22">
      <c r="G22" s="25"/>
    </row>
    <row r="23">
      <c r="G23" s="25"/>
    </row>
    <row r="24">
      <c r="G24" s="25"/>
    </row>
    <row r="25">
      <c r="G25" s="25"/>
    </row>
    <row r="26">
      <c r="G26" s="25"/>
    </row>
    <row r="27">
      <c r="G27" s="25"/>
    </row>
    <row r="28">
      <c r="G28" s="25"/>
    </row>
    <row r="29">
      <c r="G29" s="25"/>
    </row>
    <row r="30">
      <c r="G30" s="25"/>
    </row>
    <row r="31">
      <c r="G31" s="25"/>
    </row>
    <row r="32">
      <c r="G32" s="25"/>
    </row>
  </sheetData>
  <hyperlinks>
    <hyperlink r:id="rId1" ref="I2"/>
    <hyperlink r:id="rId2" ref="I3"/>
    <hyperlink r:id="rId3" ref="I4"/>
    <hyperlink r:id="rId4" ref="I5"/>
    <hyperlink r:id="rId5" ref="I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2.38"/>
    <col customWidth="1" min="3" max="3" width="26.13"/>
  </cols>
  <sheetData>
    <row r="1">
      <c r="A1" s="30" t="str">
        <f>IFERROR(__xludf.DUMMYFUNCTION("QUERY(IntentDB!B:F, ""select B, C, E, sum(F) where B is not null group by B, C, E label sum(F) 'TotalQuantity'"", 1)"),"波段")</f>
        <v>波段</v>
      </c>
      <c r="B1" s="30" t="str">
        <f>IFERROR(__xludf.DUMMYFUNCTION("""COMPUTED_VALUE"""),"團主 ID")</f>
        <v>團主 ID</v>
      </c>
      <c r="C1" s="30" t="str">
        <f>IFERROR(__xludf.DUMMYFUNCTION("""COMPUTED_VALUE"""),"商品名稱")</f>
        <v>商品名稱</v>
      </c>
      <c r="D1" s="30" t="str">
        <f>IFERROR(__xludf.DUMMYFUNCTION("""COMPUTED_VALUE"""),"TotalQuantity")</f>
        <v>TotalQuantity</v>
      </c>
    </row>
    <row r="2">
      <c r="A2" s="30">
        <f>IFERROR(__xludf.DUMMYFUNCTION("""COMPUTED_VALUE"""),2.0)</f>
        <v>2</v>
      </c>
      <c r="B2" s="30" t="str">
        <f>IFERROR(__xludf.DUMMYFUNCTION("""COMPUTED_VALUE"""),"Ub6e6a2d6e6358bd68b656638e974b1c6")</f>
        <v>Ub6e6a2d6e6358bd68b656638e974b1c6</v>
      </c>
      <c r="C2" s="30" t="str">
        <f>IFERROR(__xludf.DUMMYFUNCTION("""COMPUTED_VALUE"""),"test")</f>
        <v>test</v>
      </c>
      <c r="D2" s="30">
        <f>IFERROR(__xludf.DUMMYFUNCTION("""COMPUTED_VALUE"""),24.0)</f>
        <v>24</v>
      </c>
    </row>
    <row r="3">
      <c r="A3" s="30">
        <f>IFERROR(__xludf.DUMMYFUNCTION("""COMPUTED_VALUE"""),2.0)</f>
        <v>2</v>
      </c>
      <c r="B3" s="30" t="str">
        <f>IFERROR(__xludf.DUMMYFUNCTION("""COMPUTED_VALUE"""),"Ub6e6a2d6e6358bd68b656638e974b1c6")</f>
        <v>Ub6e6a2d6e6358bd68b656638e974b1c6</v>
      </c>
      <c r="C3" s="30" t="str">
        <f>IFERROR(__xludf.DUMMYFUNCTION("""COMPUTED_VALUE"""),"test2")</f>
        <v>test2</v>
      </c>
      <c r="D3" s="30">
        <f>IFERROR(__xludf.DUMMYFUNCTION("""COMPUTED_VALUE"""),1.0)</f>
        <v>1</v>
      </c>
    </row>
    <row r="4">
      <c r="A4" s="30">
        <f>IFERROR(__xludf.DUMMYFUNCTION("""COMPUTED_VALUE"""),2.0)</f>
        <v>2</v>
      </c>
      <c r="B4" s="30" t="str">
        <f>IFERROR(__xludf.DUMMYFUNCTION("""COMPUTED_VALUE"""),"Ub6e6a2d6e6358bd68b656638e974b1c6")</f>
        <v>Ub6e6a2d6e6358bd68b656638e974b1c6</v>
      </c>
      <c r="C4" s="30" t="str">
        <f>IFERROR(__xludf.DUMMYFUNCTION("""COMPUTED_VALUE"""),"【KAO】HAITER浴室泡沫漂白噴霧")</f>
        <v>【KAO】HAITER浴室泡沫漂白噴霧</v>
      </c>
      <c r="D4" s="30">
        <f>IFERROR(__xludf.DUMMYFUNCTION("""COMPUTED_VALUE"""),50.0)</f>
        <v>50</v>
      </c>
    </row>
    <row r="5">
      <c r="A5" s="30">
        <f>IFERROR(__xludf.DUMMYFUNCTION("""COMPUTED_VALUE"""),2.0)</f>
        <v>2</v>
      </c>
      <c r="B5" s="30" t="str">
        <f>IFERROR(__xludf.DUMMYFUNCTION("""COMPUTED_VALUE"""),"Ub6e6a2d6e6358bd68b656638e974b1c6")</f>
        <v>Ub6e6a2d6e6358bd68b656638e974b1c6</v>
      </c>
      <c r="C5" s="30" t="str">
        <f>IFERROR(__xludf.DUMMYFUNCTION("""COMPUTED_VALUE"""),"【LEC超值組】激落君 強力除霉泡泡")</f>
        <v>【LEC超值組】激落君 強力除霉泡泡</v>
      </c>
      <c r="D5" s="30">
        <f>IFERROR(__xludf.DUMMYFUNCTION("""COMPUTED_VALUE"""),141.0)</f>
        <v>141</v>
      </c>
    </row>
    <row r="6">
      <c r="A6" s="30">
        <f>IFERROR(__xludf.DUMMYFUNCTION("""COMPUTED_VALUE"""),2.0)</f>
        <v>2</v>
      </c>
      <c r="B6" s="30" t="str">
        <f>IFERROR(__xludf.DUMMYFUNCTION("""COMPUTED_VALUE"""),"Ub6e6a2d6e6358bd68b656638e974b1c6")</f>
        <v>Ub6e6a2d6e6358bd68b656638e974b1c6</v>
      </c>
      <c r="C6" s="30" t="str">
        <f>IFERROR(__xludf.DUMMYFUNCTION("""COMPUTED_VALUE"""),"義美巧克力小泡芙57g")</f>
        <v>義美巧克力小泡芙57g</v>
      </c>
      <c r="D6" s="30">
        <f>IFERROR(__xludf.DUMMYFUNCTION("""COMPUTED_VALUE"""),5.0)</f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201.25"/>
  </cols>
  <sheetData>
    <row r="1">
      <c r="A1" s="22" t="s">
        <v>216</v>
      </c>
      <c r="B1" s="22" t="s">
        <v>217</v>
      </c>
      <c r="C1" s="22" t="s">
        <v>218</v>
      </c>
    </row>
    <row r="2">
      <c r="A2" s="25">
        <v>46046.02479954861</v>
      </c>
      <c r="B2" s="22" t="s">
        <v>219</v>
      </c>
      <c r="C2" s="22" t="s">
        <v>220</v>
      </c>
    </row>
    <row r="3">
      <c r="A3" s="25">
        <v>46046.02489238426</v>
      </c>
      <c r="B3" s="22" t="s">
        <v>221</v>
      </c>
      <c r="C3" s="22" t="s">
        <v>222</v>
      </c>
    </row>
    <row r="4">
      <c r="A4" s="25">
        <v>46046.02500162037</v>
      </c>
      <c r="B4" s="22" t="s">
        <v>219</v>
      </c>
      <c r="C4" s="22" t="s">
        <v>220</v>
      </c>
    </row>
    <row r="5">
      <c r="A5" s="25">
        <v>46046.02504511574</v>
      </c>
      <c r="B5" s="22" t="s">
        <v>221</v>
      </c>
      <c r="C5" s="22" t="s">
        <v>222</v>
      </c>
    </row>
    <row r="6">
      <c r="A6" s="25">
        <v>46046.026046956016</v>
      </c>
      <c r="B6" s="22" t="s">
        <v>219</v>
      </c>
      <c r="C6" s="22" t="s">
        <v>220</v>
      </c>
    </row>
    <row r="7">
      <c r="A7" s="25">
        <v>46046.02608243056</v>
      </c>
      <c r="B7" s="22" t="s">
        <v>221</v>
      </c>
      <c r="C7" s="22" t="s">
        <v>222</v>
      </c>
    </row>
    <row r="8">
      <c r="A8" s="25">
        <v>46046.02637346065</v>
      </c>
      <c r="B8" s="22" t="s">
        <v>221</v>
      </c>
      <c r="C8" s="22" t="s">
        <v>223</v>
      </c>
    </row>
    <row r="9">
      <c r="A9" s="25">
        <v>46046.026396863424</v>
      </c>
      <c r="B9" s="22" t="s">
        <v>221</v>
      </c>
      <c r="C9" s="22" t="s">
        <v>224</v>
      </c>
    </row>
    <row r="10">
      <c r="A10" s="25">
        <v>46046.0264075</v>
      </c>
      <c r="B10" s="22" t="s">
        <v>219</v>
      </c>
      <c r="C10" s="22" t="s">
        <v>220</v>
      </c>
    </row>
    <row r="11">
      <c r="A11" s="25">
        <v>46046.026436898144</v>
      </c>
      <c r="B11" s="22" t="s">
        <v>219</v>
      </c>
      <c r="C11" s="22" t="s">
        <v>220</v>
      </c>
    </row>
    <row r="12">
      <c r="A12" s="25">
        <v>46046.02645986111</v>
      </c>
      <c r="B12" s="22" t="s">
        <v>221</v>
      </c>
      <c r="C12" s="22" t="s">
        <v>222</v>
      </c>
    </row>
    <row r="13">
      <c r="A13" s="25">
        <v>46046.02647210648</v>
      </c>
      <c r="B13" s="22" t="s">
        <v>221</v>
      </c>
      <c r="C13" s="22" t="s">
        <v>222</v>
      </c>
    </row>
    <row r="14">
      <c r="A14" s="25">
        <v>46046.02657628473</v>
      </c>
      <c r="B14" s="22" t="s">
        <v>219</v>
      </c>
      <c r="C14" s="22" t="s">
        <v>220</v>
      </c>
    </row>
    <row r="15">
      <c r="A15" s="25">
        <v>46046.02662337963</v>
      </c>
      <c r="B15" s="22" t="s">
        <v>221</v>
      </c>
      <c r="C15" s="22" t="s">
        <v>222</v>
      </c>
    </row>
    <row r="16">
      <c r="A16" s="25">
        <v>46046.02933185185</v>
      </c>
      <c r="B16" s="22" t="s">
        <v>219</v>
      </c>
      <c r="C16" s="22" t="s">
        <v>220</v>
      </c>
    </row>
    <row r="17">
      <c r="A17" s="25">
        <v>46046.029401921296</v>
      </c>
      <c r="B17" s="22" t="s">
        <v>221</v>
      </c>
      <c r="C17" s="22" t="s">
        <v>222</v>
      </c>
    </row>
    <row r="18">
      <c r="A18" s="25">
        <v>46046.02976761574</v>
      </c>
      <c r="B18" s="22" t="s">
        <v>221</v>
      </c>
      <c r="C18" s="22" t="s">
        <v>225</v>
      </c>
    </row>
    <row r="19">
      <c r="A19" s="25">
        <v>46046.02979935185</v>
      </c>
      <c r="B19" s="22" t="s">
        <v>219</v>
      </c>
      <c r="C19" s="22" t="s">
        <v>220</v>
      </c>
    </row>
    <row r="20">
      <c r="A20" s="25">
        <v>46046.02983885417</v>
      </c>
      <c r="B20" s="22" t="s">
        <v>221</v>
      </c>
      <c r="C20" s="22" t="s">
        <v>222</v>
      </c>
    </row>
    <row r="21">
      <c r="A21" s="25">
        <v>46046.032734293985</v>
      </c>
      <c r="B21" s="22" t="s">
        <v>221</v>
      </c>
      <c r="C21" s="22" t="s">
        <v>223</v>
      </c>
    </row>
    <row r="22">
      <c r="A22" s="25">
        <v>46046.032772164355</v>
      </c>
      <c r="B22" s="22" t="s">
        <v>219</v>
      </c>
      <c r="C22" s="22" t="s">
        <v>220</v>
      </c>
    </row>
    <row r="23">
      <c r="A23" s="25">
        <v>46046.032804560185</v>
      </c>
      <c r="B23" s="22" t="s">
        <v>221</v>
      </c>
      <c r="C23" s="22" t="s">
        <v>222</v>
      </c>
    </row>
    <row r="24">
      <c r="A24" s="25">
        <v>46046.0329852662</v>
      </c>
      <c r="B24" s="22" t="s">
        <v>221</v>
      </c>
      <c r="C24" s="22" t="s">
        <v>223</v>
      </c>
    </row>
    <row r="25">
      <c r="A25" s="25">
        <v>46046.033023958335</v>
      </c>
      <c r="B25" s="22" t="s">
        <v>219</v>
      </c>
      <c r="C25" s="22" t="s">
        <v>220</v>
      </c>
    </row>
    <row r="26">
      <c r="A26" s="25">
        <v>46046.033064664356</v>
      </c>
      <c r="B26" s="22" t="s">
        <v>221</v>
      </c>
      <c r="C26" s="22" t="s">
        <v>222</v>
      </c>
    </row>
    <row r="27">
      <c r="A27" s="25">
        <v>46046.03317547454</v>
      </c>
      <c r="B27" s="22" t="s">
        <v>219</v>
      </c>
      <c r="C27" s="22" t="s">
        <v>220</v>
      </c>
    </row>
    <row r="28">
      <c r="A28" s="25">
        <v>46046.03321385417</v>
      </c>
      <c r="B28" s="22" t="s">
        <v>221</v>
      </c>
      <c r="C28" s="22" t="s">
        <v>222</v>
      </c>
    </row>
    <row r="29">
      <c r="A29" s="25">
        <v>46046.03435987269</v>
      </c>
      <c r="B29" s="22" t="s">
        <v>219</v>
      </c>
      <c r="C29" s="22" t="s">
        <v>220</v>
      </c>
    </row>
    <row r="30">
      <c r="A30" s="25">
        <v>46046.03439872686</v>
      </c>
      <c r="B30" s="22" t="s">
        <v>221</v>
      </c>
      <c r="C30" s="22" t="s">
        <v>222</v>
      </c>
    </row>
    <row r="31">
      <c r="A31" s="25">
        <v>46046.03715984954</v>
      </c>
      <c r="B31" s="22" t="s">
        <v>219</v>
      </c>
      <c r="C31" s="22" t="s">
        <v>220</v>
      </c>
    </row>
    <row r="32">
      <c r="A32" s="25">
        <v>46046.03720045139</v>
      </c>
      <c r="B32" s="22" t="s">
        <v>221</v>
      </c>
      <c r="C32" s="22" t="s">
        <v>222</v>
      </c>
    </row>
    <row r="33">
      <c r="A33" s="25">
        <v>46046.03785222222</v>
      </c>
      <c r="B33" s="22" t="s">
        <v>219</v>
      </c>
      <c r="C33" s="22" t="s">
        <v>220</v>
      </c>
    </row>
    <row r="34">
      <c r="A34" s="25">
        <v>46046.03789633102</v>
      </c>
      <c r="B34" s="22" t="s">
        <v>221</v>
      </c>
      <c r="C34" s="22" t="s">
        <v>222</v>
      </c>
    </row>
    <row r="35">
      <c r="A35" s="25">
        <v>46046.04064233796</v>
      </c>
      <c r="B35" s="22" t="s">
        <v>221</v>
      </c>
      <c r="C35" s="22" t="s">
        <v>226</v>
      </c>
    </row>
    <row r="36">
      <c r="A36" s="25">
        <v>46046.040680509264</v>
      </c>
      <c r="B36" s="22" t="s">
        <v>219</v>
      </c>
      <c r="C36" s="22" t="s">
        <v>220</v>
      </c>
    </row>
    <row r="37">
      <c r="A37" s="25">
        <v>46046.04074384259</v>
      </c>
      <c r="B37" s="22" t="s">
        <v>221</v>
      </c>
      <c r="C37" s="22" t="s">
        <v>222</v>
      </c>
    </row>
    <row r="38">
      <c r="A38" s="25">
        <v>46046.04576849537</v>
      </c>
      <c r="B38" s="22" t="s">
        <v>219</v>
      </c>
      <c r="C38" s="22" t="s">
        <v>220</v>
      </c>
    </row>
    <row r="39">
      <c r="A39" s="25">
        <v>46046.04580277778</v>
      </c>
      <c r="B39" s="22" t="s">
        <v>221</v>
      </c>
      <c r="C39" s="22" t="s">
        <v>222</v>
      </c>
    </row>
    <row r="40">
      <c r="A40" s="25">
        <v>46046.046033125</v>
      </c>
      <c r="B40" s="22" t="s">
        <v>219</v>
      </c>
      <c r="C40" s="22" t="s">
        <v>220</v>
      </c>
    </row>
    <row r="41">
      <c r="A41" s="25">
        <v>46046.04609027778</v>
      </c>
      <c r="B41" s="22" t="s">
        <v>221</v>
      </c>
      <c r="C41" s="22" t="s">
        <v>222</v>
      </c>
    </row>
    <row r="42">
      <c r="A42" s="25">
        <v>46046.046188865745</v>
      </c>
      <c r="B42" s="22" t="s">
        <v>221</v>
      </c>
      <c r="C42" s="22" t="s">
        <v>224</v>
      </c>
    </row>
    <row r="43">
      <c r="A43" s="25">
        <v>46046.04621502315</v>
      </c>
      <c r="B43" s="22" t="s">
        <v>219</v>
      </c>
      <c r="C43" s="22" t="s">
        <v>220</v>
      </c>
    </row>
    <row r="44">
      <c r="A44" s="25">
        <v>46046.046249583334</v>
      </c>
      <c r="B44" s="22" t="s">
        <v>221</v>
      </c>
      <c r="C44" s="22" t="s">
        <v>222</v>
      </c>
    </row>
    <row r="45">
      <c r="A45" s="25">
        <v>46046.0463518287</v>
      </c>
      <c r="B45" s="22" t="s">
        <v>219</v>
      </c>
      <c r="C45" s="22" t="s">
        <v>220</v>
      </c>
    </row>
    <row r="46">
      <c r="A46" s="25">
        <v>46046.04638650463</v>
      </c>
      <c r="B46" s="22" t="s">
        <v>221</v>
      </c>
      <c r="C46" s="22" t="s">
        <v>222</v>
      </c>
    </row>
    <row r="47">
      <c r="A47" s="25">
        <v>46046.046469270834</v>
      </c>
      <c r="B47" s="22" t="s">
        <v>221</v>
      </c>
      <c r="C47" s="22" t="s">
        <v>224</v>
      </c>
    </row>
    <row r="48">
      <c r="A48" s="25">
        <v>46046.04650615741</v>
      </c>
      <c r="B48" s="22" t="s">
        <v>219</v>
      </c>
      <c r="C48" s="22" t="s">
        <v>220</v>
      </c>
    </row>
    <row r="49">
      <c r="A49" s="25">
        <v>46046.04654181713</v>
      </c>
      <c r="B49" s="22" t="s">
        <v>221</v>
      </c>
      <c r="C49" s="22" t="s">
        <v>222</v>
      </c>
    </row>
    <row r="50">
      <c r="A50" s="25">
        <v>46046.046614363426</v>
      </c>
      <c r="B50" s="22" t="s">
        <v>221</v>
      </c>
      <c r="C50" s="22" t="s">
        <v>224</v>
      </c>
    </row>
    <row r="51">
      <c r="A51" s="25">
        <v>46046.04664215278</v>
      </c>
      <c r="B51" s="22" t="s">
        <v>219</v>
      </c>
      <c r="C51" s="22" t="s">
        <v>220</v>
      </c>
    </row>
    <row r="52">
      <c r="A52" s="25">
        <v>46046.04667915509</v>
      </c>
      <c r="B52" s="22" t="s">
        <v>221</v>
      </c>
      <c r="C52" s="22" t="s">
        <v>222</v>
      </c>
    </row>
    <row r="53">
      <c r="A53" s="25">
        <v>46046.04682210648</v>
      </c>
      <c r="B53" s="22" t="s">
        <v>221</v>
      </c>
      <c r="C53" s="22" t="s">
        <v>224</v>
      </c>
    </row>
    <row r="54">
      <c r="A54" s="25">
        <v>46046.046857037036</v>
      </c>
      <c r="B54" s="22" t="s">
        <v>219</v>
      </c>
      <c r="C54" s="22" t="s">
        <v>220</v>
      </c>
    </row>
    <row r="55">
      <c r="A55" s="25">
        <v>46046.04686969907</v>
      </c>
      <c r="B55" s="22" t="s">
        <v>221</v>
      </c>
      <c r="C55" s="22" t="s">
        <v>227</v>
      </c>
    </row>
    <row r="56">
      <c r="A56" s="25">
        <v>46046.04689347222</v>
      </c>
      <c r="B56" s="22" t="s">
        <v>221</v>
      </c>
      <c r="C56" s="22" t="s">
        <v>222</v>
      </c>
    </row>
    <row r="57">
      <c r="A57" s="25">
        <v>46046.046928703705</v>
      </c>
      <c r="B57" s="22" t="s">
        <v>219</v>
      </c>
      <c r="C57" s="22" t="s">
        <v>220</v>
      </c>
    </row>
    <row r="58">
      <c r="A58" s="25">
        <v>46046.046994965276</v>
      </c>
      <c r="B58" s="22" t="s">
        <v>221</v>
      </c>
      <c r="C58" s="22" t="s">
        <v>222</v>
      </c>
    </row>
    <row r="59">
      <c r="A59" s="25">
        <v>46046.05659807871</v>
      </c>
      <c r="B59" s="22" t="s">
        <v>219</v>
      </c>
      <c r="C59" s="22" t="s">
        <v>220</v>
      </c>
    </row>
    <row r="60">
      <c r="A60" s="25">
        <v>46046.05663641204</v>
      </c>
      <c r="B60" s="22" t="s">
        <v>221</v>
      </c>
      <c r="C60" s="22" t="s">
        <v>222</v>
      </c>
    </row>
    <row r="61">
      <c r="A61" s="25">
        <v>46046.05666674768</v>
      </c>
      <c r="B61" s="22" t="s">
        <v>221</v>
      </c>
      <c r="C61" s="22" t="s">
        <v>228</v>
      </c>
    </row>
    <row r="62">
      <c r="A62" s="25">
        <v>46046.05670078704</v>
      </c>
      <c r="B62" s="22" t="s">
        <v>219</v>
      </c>
      <c r="C62" s="22" t="s">
        <v>220</v>
      </c>
    </row>
    <row r="63">
      <c r="A63" s="25">
        <v>46046.0567497338</v>
      </c>
      <c r="B63" s="22" t="s">
        <v>221</v>
      </c>
      <c r="C63" s="22" t="s">
        <v>222</v>
      </c>
    </row>
    <row r="64">
      <c r="A64" s="25">
        <v>46046.06126652777</v>
      </c>
      <c r="B64" s="22" t="s">
        <v>219</v>
      </c>
      <c r="C64" s="22" t="s">
        <v>220</v>
      </c>
    </row>
    <row r="65">
      <c r="A65" s="25">
        <v>46046.06130425926</v>
      </c>
      <c r="B65" s="22" t="s">
        <v>221</v>
      </c>
      <c r="C65" s="22" t="s">
        <v>222</v>
      </c>
    </row>
    <row r="66">
      <c r="A66" s="25">
        <v>46046.06379240741</v>
      </c>
      <c r="B66" s="22" t="s">
        <v>219</v>
      </c>
      <c r="C66" s="22" t="s">
        <v>220</v>
      </c>
    </row>
    <row r="67">
      <c r="A67" s="25">
        <v>46046.06382815972</v>
      </c>
      <c r="B67" s="22" t="s">
        <v>221</v>
      </c>
      <c r="C67" s="22" t="s">
        <v>222</v>
      </c>
    </row>
    <row r="68">
      <c r="A68" s="25">
        <v>46046.06397108796</v>
      </c>
      <c r="B68" s="22" t="s">
        <v>219</v>
      </c>
      <c r="C68" s="22" t="s">
        <v>220</v>
      </c>
    </row>
    <row r="69">
      <c r="A69" s="25">
        <v>46046.06402038195</v>
      </c>
      <c r="B69" s="22" t="s">
        <v>221</v>
      </c>
      <c r="C69" s="22" t="s">
        <v>222</v>
      </c>
    </row>
    <row r="70">
      <c r="A70" s="25">
        <v>46046.064113541666</v>
      </c>
      <c r="B70" s="22" t="s">
        <v>221</v>
      </c>
      <c r="C70" s="22" t="s">
        <v>228</v>
      </c>
    </row>
    <row r="71">
      <c r="A71" s="25">
        <v>46046.064140312505</v>
      </c>
      <c r="B71" s="22" t="s">
        <v>219</v>
      </c>
      <c r="C71" s="22" t="s">
        <v>220</v>
      </c>
    </row>
    <row r="72">
      <c r="A72" s="25">
        <v>46046.06418284722</v>
      </c>
      <c r="B72" s="22" t="s">
        <v>221</v>
      </c>
      <c r="C72" s="22" t="s">
        <v>222</v>
      </c>
    </row>
    <row r="73">
      <c r="A73" s="25">
        <v>46046.0642878588</v>
      </c>
      <c r="B73" s="22" t="s">
        <v>219</v>
      </c>
      <c r="C73" s="22" t="s">
        <v>220</v>
      </c>
    </row>
    <row r="74">
      <c r="A74" s="25">
        <v>46046.064330520836</v>
      </c>
      <c r="B74" s="22" t="s">
        <v>221</v>
      </c>
      <c r="C74" s="22" t="s">
        <v>222</v>
      </c>
    </row>
    <row r="75">
      <c r="A75" s="25">
        <v>46046.065409814815</v>
      </c>
      <c r="B75" s="22" t="s">
        <v>221</v>
      </c>
      <c r="C75" s="22" t="s">
        <v>228</v>
      </c>
    </row>
    <row r="76">
      <c r="A76" s="25">
        <v>46046.06544342593</v>
      </c>
      <c r="B76" s="22" t="s">
        <v>219</v>
      </c>
      <c r="C76" s="22" t="s">
        <v>220</v>
      </c>
    </row>
    <row r="77">
      <c r="A77" s="25">
        <v>46046.06548225695</v>
      </c>
      <c r="B77" s="22" t="s">
        <v>221</v>
      </c>
      <c r="C77" s="22" t="s">
        <v>222</v>
      </c>
    </row>
    <row r="78">
      <c r="A78" s="25">
        <v>46046.06580803241</v>
      </c>
      <c r="B78" s="22" t="s">
        <v>219</v>
      </c>
      <c r="C78" s="22" t="s">
        <v>220</v>
      </c>
    </row>
    <row r="79">
      <c r="A79" s="25">
        <v>46046.06585971065</v>
      </c>
      <c r="B79" s="22" t="s">
        <v>221</v>
      </c>
      <c r="C79" s="22" t="s">
        <v>222</v>
      </c>
    </row>
    <row r="80">
      <c r="A80" s="25">
        <v>46046.06661214121</v>
      </c>
      <c r="B80" s="22" t="s">
        <v>221</v>
      </c>
      <c r="C80" s="22" t="s">
        <v>229</v>
      </c>
    </row>
    <row r="81">
      <c r="A81" s="25">
        <v>46046.066650162036</v>
      </c>
      <c r="B81" s="22" t="s">
        <v>219</v>
      </c>
      <c r="C81" s="22" t="s">
        <v>220</v>
      </c>
    </row>
    <row r="82">
      <c r="A82" s="25">
        <v>46046.06668521991</v>
      </c>
      <c r="B82" s="22" t="s">
        <v>221</v>
      </c>
      <c r="C82" s="22" t="s">
        <v>222</v>
      </c>
    </row>
    <row r="83">
      <c r="A83" s="25">
        <v>46046.066809710646</v>
      </c>
      <c r="B83" s="22" t="s">
        <v>219</v>
      </c>
      <c r="C83" s="22" t="s">
        <v>220</v>
      </c>
    </row>
    <row r="84">
      <c r="A84" s="25">
        <v>46046.066849236115</v>
      </c>
      <c r="B84" s="22" t="s">
        <v>221</v>
      </c>
      <c r="C84" s="22" t="s">
        <v>222</v>
      </c>
    </row>
    <row r="85">
      <c r="A85" s="25">
        <v>46046.066881446764</v>
      </c>
      <c r="B85" s="22" t="s">
        <v>219</v>
      </c>
      <c r="C85" s="22" t="s">
        <v>230</v>
      </c>
    </row>
    <row r="86">
      <c r="A86" s="25">
        <v>46046.066924363426</v>
      </c>
      <c r="B86" s="22" t="s">
        <v>219</v>
      </c>
      <c r="C86" s="22" t="s">
        <v>230</v>
      </c>
    </row>
    <row r="87">
      <c r="A87" s="25">
        <v>46046.06779958333</v>
      </c>
      <c r="B87" s="22" t="s">
        <v>219</v>
      </c>
      <c r="C87" s="22" t="s">
        <v>220</v>
      </c>
    </row>
    <row r="88">
      <c r="A88" s="25">
        <v>46046.06781771991</v>
      </c>
      <c r="B88" s="22" t="s">
        <v>219</v>
      </c>
      <c r="C88" s="22" t="s">
        <v>220</v>
      </c>
    </row>
    <row r="89">
      <c r="A89" s="25">
        <v>46046.067858622686</v>
      </c>
      <c r="B89" s="22" t="s">
        <v>221</v>
      </c>
      <c r="C89" s="22" t="s">
        <v>222</v>
      </c>
    </row>
    <row r="90">
      <c r="A90" s="25">
        <v>46046.067975439815</v>
      </c>
      <c r="B90" s="22" t="s">
        <v>219</v>
      </c>
      <c r="C90" s="22" t="s">
        <v>220</v>
      </c>
    </row>
    <row r="91">
      <c r="A91" s="25">
        <v>46046.06803527778</v>
      </c>
      <c r="B91" s="22" t="s">
        <v>221</v>
      </c>
      <c r="C91" s="22" t="s">
        <v>222</v>
      </c>
    </row>
    <row r="92">
      <c r="A92" s="25">
        <v>46046.068119814816</v>
      </c>
      <c r="B92" s="22" t="s">
        <v>221</v>
      </c>
      <c r="C92" s="22" t="s">
        <v>228</v>
      </c>
    </row>
    <row r="93">
      <c r="A93" s="25">
        <v>46046.068152418986</v>
      </c>
      <c r="B93" s="22" t="s">
        <v>219</v>
      </c>
      <c r="C93" s="22" t="s">
        <v>220</v>
      </c>
    </row>
    <row r="94">
      <c r="A94" s="25">
        <v>46046.068173912034</v>
      </c>
      <c r="B94" s="22" t="s">
        <v>219</v>
      </c>
      <c r="C94" s="22" t="s">
        <v>220</v>
      </c>
    </row>
    <row r="95">
      <c r="A95" s="25">
        <v>46046.06818884259</v>
      </c>
      <c r="B95" s="22" t="s">
        <v>219</v>
      </c>
      <c r="C95" s="22" t="s">
        <v>220</v>
      </c>
    </row>
    <row r="96">
      <c r="A96" s="25">
        <v>46046.06822234954</v>
      </c>
      <c r="B96" s="22" t="s">
        <v>221</v>
      </c>
      <c r="C96" s="22" t="s">
        <v>222</v>
      </c>
    </row>
    <row r="97">
      <c r="A97" s="25">
        <v>46046.06827836805</v>
      </c>
      <c r="B97" s="22" t="s">
        <v>221</v>
      </c>
      <c r="C97" s="22" t="s">
        <v>228</v>
      </c>
    </row>
    <row r="98">
      <c r="A98" s="25">
        <v>46046.068321377315</v>
      </c>
      <c r="B98" s="22" t="s">
        <v>219</v>
      </c>
      <c r="C98" s="22" t="s">
        <v>220</v>
      </c>
    </row>
    <row r="99">
      <c r="A99" s="25">
        <v>46046.06835361111</v>
      </c>
      <c r="B99" s="22" t="s">
        <v>221</v>
      </c>
      <c r="C99" s="22" t="s">
        <v>222</v>
      </c>
    </row>
    <row r="100">
      <c r="A100" s="25">
        <v>46046.06860412037</v>
      </c>
      <c r="B100" s="22" t="s">
        <v>221</v>
      </c>
      <c r="C100" s="22" t="s">
        <v>231</v>
      </c>
    </row>
    <row r="101">
      <c r="A101" s="25">
        <v>46046.06863541667</v>
      </c>
      <c r="B101" s="22" t="s">
        <v>221</v>
      </c>
      <c r="C101" s="22" t="s">
        <v>232</v>
      </c>
    </row>
    <row r="102">
      <c r="A102" s="25">
        <v>46046.068643900464</v>
      </c>
      <c r="B102" s="22" t="s">
        <v>219</v>
      </c>
      <c r="C102" s="22" t="s">
        <v>220</v>
      </c>
    </row>
    <row r="103">
      <c r="A103" s="25">
        <v>46046.0686666088</v>
      </c>
      <c r="B103" s="22" t="s">
        <v>219</v>
      </c>
      <c r="C103" s="22" t="s">
        <v>220</v>
      </c>
    </row>
    <row r="104">
      <c r="A104" s="25">
        <v>46046.068680613425</v>
      </c>
      <c r="B104" s="22" t="s">
        <v>221</v>
      </c>
      <c r="C104" s="22" t="s">
        <v>222</v>
      </c>
    </row>
    <row r="105">
      <c r="A105" s="25">
        <v>46046.06868881945</v>
      </c>
      <c r="B105" s="22" t="s">
        <v>221</v>
      </c>
      <c r="C105" s="22" t="s">
        <v>233</v>
      </c>
    </row>
    <row r="106">
      <c r="A106" s="25">
        <v>46046.068707094906</v>
      </c>
      <c r="B106" s="22" t="s">
        <v>221</v>
      </c>
      <c r="C106" s="22" t="s">
        <v>222</v>
      </c>
    </row>
    <row r="107">
      <c r="A107" s="25">
        <v>46046.068716932874</v>
      </c>
      <c r="B107" s="22" t="s">
        <v>219</v>
      </c>
      <c r="C107" s="22" t="s">
        <v>220</v>
      </c>
    </row>
    <row r="108">
      <c r="A108" s="25">
        <v>46046.06875846065</v>
      </c>
      <c r="B108" s="22" t="s">
        <v>221</v>
      </c>
      <c r="C108" s="22" t="s">
        <v>222</v>
      </c>
    </row>
    <row r="109">
      <c r="A109" s="25">
        <v>46046.06937510417</v>
      </c>
      <c r="B109" s="22" t="s">
        <v>219</v>
      </c>
      <c r="C109" s="22" t="s">
        <v>220</v>
      </c>
    </row>
    <row r="110">
      <c r="A110" s="25">
        <v>46046.06941165509</v>
      </c>
      <c r="B110" s="22" t="s">
        <v>221</v>
      </c>
      <c r="C110" s="22" t="s">
        <v>222</v>
      </c>
    </row>
    <row r="111">
      <c r="A111" s="25">
        <v>46046.07081366898</v>
      </c>
      <c r="B111" s="22" t="s">
        <v>219</v>
      </c>
      <c r="C111" s="22" t="s">
        <v>220</v>
      </c>
    </row>
    <row r="112">
      <c r="A112" s="25">
        <v>46046.07085496528</v>
      </c>
      <c r="B112" s="22" t="s">
        <v>221</v>
      </c>
      <c r="C112" s="22" t="s">
        <v>222</v>
      </c>
    </row>
    <row r="113">
      <c r="A113" s="25">
        <v>46046.070969884255</v>
      </c>
      <c r="B113" s="22" t="s">
        <v>219</v>
      </c>
      <c r="C113" s="22" t="s">
        <v>220</v>
      </c>
    </row>
    <row r="114">
      <c r="A114" s="25">
        <v>46046.071016064816</v>
      </c>
      <c r="B114" s="22" t="s">
        <v>221</v>
      </c>
      <c r="C114" s="22" t="s">
        <v>222</v>
      </c>
    </row>
    <row r="115">
      <c r="A115" s="25">
        <v>46046.07177228009</v>
      </c>
      <c r="B115" s="22" t="s">
        <v>219</v>
      </c>
      <c r="C115" s="22" t="s">
        <v>220</v>
      </c>
    </row>
    <row r="116">
      <c r="A116" s="25">
        <v>46046.07182628472</v>
      </c>
      <c r="B116" s="22" t="s">
        <v>221</v>
      </c>
      <c r="C116" s="22" t="s">
        <v>222</v>
      </c>
    </row>
    <row r="117">
      <c r="A117" s="25">
        <v>46046.07194034722</v>
      </c>
      <c r="B117" s="22" t="s">
        <v>219</v>
      </c>
      <c r="C117" s="22" t="s">
        <v>220</v>
      </c>
    </row>
    <row r="118">
      <c r="A118" s="25">
        <v>46046.0719809375</v>
      </c>
      <c r="B118" s="22" t="s">
        <v>221</v>
      </c>
      <c r="C118" s="22" t="s">
        <v>222</v>
      </c>
    </row>
    <row r="119">
      <c r="A119" s="25">
        <v>46046.072018969906</v>
      </c>
      <c r="B119" s="22" t="s">
        <v>219</v>
      </c>
      <c r="C119" s="22" t="s">
        <v>220</v>
      </c>
    </row>
    <row r="120">
      <c r="A120" s="25">
        <v>46046.07205640046</v>
      </c>
      <c r="B120" s="22" t="s">
        <v>221</v>
      </c>
      <c r="C120" s="22" t="s">
        <v>222</v>
      </c>
    </row>
    <row r="121">
      <c r="A121" s="25">
        <v>46046.07208803241</v>
      </c>
      <c r="B121" s="22" t="s">
        <v>221</v>
      </c>
      <c r="C121" s="22" t="s">
        <v>228</v>
      </c>
    </row>
    <row r="122">
      <c r="A122" s="25">
        <v>46046.07213054398</v>
      </c>
      <c r="B122" s="22" t="s">
        <v>219</v>
      </c>
      <c r="C122" s="22" t="s">
        <v>220</v>
      </c>
    </row>
    <row r="123">
      <c r="A123" s="25">
        <v>46046.07218134259</v>
      </c>
      <c r="B123" s="22" t="s">
        <v>221</v>
      </c>
      <c r="C123" s="22" t="s">
        <v>222</v>
      </c>
    </row>
    <row r="124">
      <c r="A124" s="25">
        <v>46046.072380011574</v>
      </c>
      <c r="B124" s="22" t="s">
        <v>219</v>
      </c>
      <c r="C124" s="22" t="s">
        <v>220</v>
      </c>
    </row>
    <row r="125">
      <c r="A125" s="25">
        <v>46046.072436030096</v>
      </c>
      <c r="B125" s="22" t="s">
        <v>221</v>
      </c>
      <c r="C125" s="22" t="s">
        <v>222</v>
      </c>
    </row>
    <row r="126">
      <c r="A126" s="25">
        <v>46046.07246744213</v>
      </c>
      <c r="B126" s="22" t="s">
        <v>219</v>
      </c>
      <c r="C126" s="22" t="s">
        <v>230</v>
      </c>
    </row>
    <row r="127">
      <c r="A127" s="25">
        <v>46046.072472106476</v>
      </c>
      <c r="B127" s="22" t="s">
        <v>221</v>
      </c>
      <c r="C127" s="22" t="s">
        <v>228</v>
      </c>
    </row>
    <row r="128">
      <c r="A128" s="25">
        <v>46046.07250163195</v>
      </c>
      <c r="B128" s="22" t="s">
        <v>219</v>
      </c>
      <c r="C128" s="22" t="s">
        <v>220</v>
      </c>
    </row>
    <row r="129">
      <c r="A129" s="25">
        <v>46046.07254190972</v>
      </c>
      <c r="B129" s="22" t="s">
        <v>221</v>
      </c>
      <c r="C129" s="22" t="s">
        <v>222</v>
      </c>
    </row>
    <row r="130">
      <c r="A130" s="25">
        <v>46046.072808067125</v>
      </c>
      <c r="B130" s="22" t="s">
        <v>221</v>
      </c>
      <c r="C130" s="22" t="s">
        <v>234</v>
      </c>
    </row>
    <row r="131">
      <c r="A131" s="25">
        <v>46046.072843738424</v>
      </c>
      <c r="B131" s="22" t="s">
        <v>219</v>
      </c>
      <c r="C131" s="22" t="s">
        <v>220</v>
      </c>
    </row>
    <row r="132">
      <c r="A132" s="25">
        <v>46046.07285586806</v>
      </c>
      <c r="B132" s="22" t="s">
        <v>219</v>
      </c>
      <c r="C132" s="22" t="s">
        <v>220</v>
      </c>
    </row>
    <row r="133">
      <c r="A133" s="25">
        <v>46046.07289621528</v>
      </c>
      <c r="B133" s="22" t="s">
        <v>221</v>
      </c>
      <c r="C133" s="22" t="s">
        <v>222</v>
      </c>
    </row>
    <row r="134">
      <c r="A134" s="25">
        <v>46046.0759215162</v>
      </c>
      <c r="B134" s="22" t="s">
        <v>221</v>
      </c>
      <c r="C134" s="22" t="s">
        <v>235</v>
      </c>
    </row>
    <row r="135">
      <c r="A135" s="25">
        <v>46046.07595625</v>
      </c>
      <c r="B135" s="22" t="s">
        <v>219</v>
      </c>
      <c r="C135" s="22" t="s">
        <v>220</v>
      </c>
    </row>
    <row r="136">
      <c r="A136" s="25">
        <v>46046.07599045139</v>
      </c>
      <c r="B136" s="22" t="s">
        <v>219</v>
      </c>
      <c r="C136" s="22" t="s">
        <v>220</v>
      </c>
    </row>
    <row r="137">
      <c r="A137" s="25">
        <v>46046.07603457176</v>
      </c>
      <c r="B137" s="22" t="s">
        <v>221</v>
      </c>
      <c r="C137" s="22" t="s">
        <v>222</v>
      </c>
    </row>
    <row r="138">
      <c r="A138" s="25">
        <v>46046.08023099537</v>
      </c>
      <c r="B138" s="22" t="s">
        <v>219</v>
      </c>
      <c r="C138" s="22" t="s">
        <v>220</v>
      </c>
    </row>
    <row r="139">
      <c r="A139" s="25">
        <v>46046.0802716551</v>
      </c>
      <c r="B139" s="22" t="s">
        <v>221</v>
      </c>
      <c r="C139" s="22" t="s">
        <v>222</v>
      </c>
    </row>
    <row r="140">
      <c r="A140" s="25">
        <v>46046.08028930555</v>
      </c>
      <c r="B140" s="22" t="s">
        <v>221</v>
      </c>
      <c r="C140" s="22" t="s">
        <v>228</v>
      </c>
    </row>
    <row r="141">
      <c r="A141" s="25">
        <v>46046.08031974537</v>
      </c>
      <c r="B141" s="22" t="s">
        <v>219</v>
      </c>
      <c r="C141" s="22" t="s">
        <v>220</v>
      </c>
    </row>
    <row r="142">
      <c r="A142" s="25">
        <v>46046.08036241899</v>
      </c>
      <c r="B142" s="22" t="s">
        <v>221</v>
      </c>
      <c r="C142" s="22" t="s">
        <v>222</v>
      </c>
    </row>
    <row r="143">
      <c r="A143" s="25">
        <v>46046.08045652778</v>
      </c>
      <c r="B143" s="22" t="s">
        <v>219</v>
      </c>
      <c r="C143" s="22" t="s">
        <v>220</v>
      </c>
    </row>
    <row r="144">
      <c r="A144" s="25">
        <v>46046.08050532408</v>
      </c>
      <c r="B144" s="22" t="s">
        <v>221</v>
      </c>
      <c r="C144" s="22" t="s">
        <v>222</v>
      </c>
    </row>
    <row r="145">
      <c r="A145" s="25">
        <v>46046.080519386574</v>
      </c>
      <c r="B145" s="22" t="s">
        <v>221</v>
      </c>
      <c r="C145" s="22" t="s">
        <v>228</v>
      </c>
    </row>
    <row r="146">
      <c r="A146" s="25">
        <v>46046.08055662037</v>
      </c>
      <c r="B146" s="22" t="s">
        <v>219</v>
      </c>
      <c r="C146" s="22" t="s">
        <v>220</v>
      </c>
    </row>
    <row r="147">
      <c r="A147" s="25">
        <v>46046.08060408565</v>
      </c>
      <c r="B147" s="22" t="s">
        <v>221</v>
      </c>
      <c r="C147" s="22" t="s">
        <v>222</v>
      </c>
    </row>
    <row r="148">
      <c r="A148" s="25">
        <v>46046.08096555556</v>
      </c>
      <c r="B148" s="22" t="s">
        <v>219</v>
      </c>
      <c r="C148" s="22" t="s">
        <v>220</v>
      </c>
    </row>
    <row r="149">
      <c r="A149" s="25">
        <v>46046.08102085648</v>
      </c>
      <c r="B149" s="22" t="s">
        <v>221</v>
      </c>
      <c r="C149" s="22" t="s">
        <v>228</v>
      </c>
    </row>
    <row r="150">
      <c r="A150" s="25">
        <v>46046.08103068287</v>
      </c>
      <c r="B150" s="22" t="s">
        <v>221</v>
      </c>
      <c r="C150" s="22" t="s">
        <v>222</v>
      </c>
    </row>
    <row r="151">
      <c r="A151" s="25">
        <v>46046.08107806713</v>
      </c>
      <c r="B151" s="22" t="s">
        <v>219</v>
      </c>
      <c r="C151" s="22" t="s">
        <v>220</v>
      </c>
    </row>
    <row r="152">
      <c r="A152" s="25">
        <v>46046.08111215278</v>
      </c>
      <c r="B152" s="22" t="s">
        <v>221</v>
      </c>
      <c r="C152" s="22" t="s">
        <v>222</v>
      </c>
    </row>
    <row r="153">
      <c r="A153" s="25">
        <v>46046.082529618056</v>
      </c>
      <c r="B153" s="22" t="s">
        <v>219</v>
      </c>
      <c r="C153" s="22" t="s">
        <v>220</v>
      </c>
    </row>
    <row r="154">
      <c r="A154" s="25">
        <v>46046.082576030094</v>
      </c>
      <c r="B154" s="22" t="s">
        <v>221</v>
      </c>
      <c r="C154" s="22" t="s">
        <v>222</v>
      </c>
    </row>
    <row r="155">
      <c r="A155" s="25">
        <v>46046.08258716435</v>
      </c>
      <c r="B155" s="22" t="s">
        <v>221</v>
      </c>
      <c r="C155" s="22" t="s">
        <v>228</v>
      </c>
    </row>
    <row r="156">
      <c r="A156" s="25">
        <v>46046.08262971065</v>
      </c>
      <c r="B156" s="22" t="s">
        <v>219</v>
      </c>
      <c r="C156" s="22" t="s">
        <v>220</v>
      </c>
    </row>
    <row r="157">
      <c r="A157" s="25">
        <v>46046.08266778935</v>
      </c>
      <c r="B157" s="22" t="s">
        <v>221</v>
      </c>
      <c r="C157" s="22" t="s">
        <v>222</v>
      </c>
    </row>
    <row r="158">
      <c r="A158" s="25">
        <v>46046.08610806713</v>
      </c>
      <c r="B158" s="22" t="s">
        <v>219</v>
      </c>
      <c r="C158" s="22" t="s">
        <v>230</v>
      </c>
    </row>
    <row r="159">
      <c r="A159" s="25">
        <v>46046.08803665509</v>
      </c>
      <c r="B159" s="22" t="s">
        <v>219</v>
      </c>
      <c r="C159" s="22" t="s">
        <v>220</v>
      </c>
    </row>
    <row r="160">
      <c r="A160" s="25">
        <v>46046.08809237268</v>
      </c>
      <c r="B160" s="22" t="s">
        <v>221</v>
      </c>
      <c r="C160" s="22" t="s">
        <v>222</v>
      </c>
    </row>
    <row r="161">
      <c r="A161" s="25">
        <v>46046.08811196759</v>
      </c>
      <c r="B161" s="22" t="s">
        <v>221</v>
      </c>
      <c r="C161" s="22" t="s">
        <v>228</v>
      </c>
    </row>
    <row r="162">
      <c r="A162" s="25">
        <v>46046.08814864584</v>
      </c>
      <c r="B162" s="22" t="s">
        <v>219</v>
      </c>
      <c r="C162" s="22" t="s">
        <v>220</v>
      </c>
    </row>
    <row r="163">
      <c r="A163" s="25">
        <v>46046.0881877662</v>
      </c>
      <c r="B163" s="22" t="s">
        <v>221</v>
      </c>
      <c r="C163" s="22" t="s">
        <v>222</v>
      </c>
    </row>
    <row r="164">
      <c r="A164" s="25">
        <v>46046.08830310185</v>
      </c>
      <c r="B164" s="22" t="s">
        <v>219</v>
      </c>
      <c r="C164" s="22" t="s">
        <v>220</v>
      </c>
    </row>
    <row r="165">
      <c r="A165" s="25">
        <v>46046.088345543976</v>
      </c>
      <c r="B165" s="22" t="s">
        <v>221</v>
      </c>
      <c r="C165" s="22" t="s">
        <v>222</v>
      </c>
    </row>
    <row r="166">
      <c r="A166" s="25">
        <v>46046.09080931713</v>
      </c>
      <c r="B166" s="22" t="s">
        <v>219</v>
      </c>
      <c r="C166" s="22" t="s">
        <v>220</v>
      </c>
    </row>
    <row r="167">
      <c r="A167" s="25">
        <v>46046.09084388889</v>
      </c>
      <c r="B167" s="22" t="s">
        <v>221</v>
      </c>
      <c r="C167" s="22" t="s">
        <v>222</v>
      </c>
    </row>
    <row r="168">
      <c r="A168" s="25">
        <v>46046.090915416666</v>
      </c>
      <c r="B168" s="22" t="s">
        <v>221</v>
      </c>
      <c r="C168" s="22" t="s">
        <v>228</v>
      </c>
    </row>
    <row r="169">
      <c r="A169" s="25">
        <v>46046.09095010417</v>
      </c>
      <c r="B169" s="22" t="s">
        <v>219</v>
      </c>
      <c r="C169" s="22" t="s">
        <v>220</v>
      </c>
    </row>
    <row r="170">
      <c r="A170" s="25">
        <v>46046.0909856713</v>
      </c>
      <c r="B170" s="22" t="s">
        <v>221</v>
      </c>
      <c r="C170" s="22" t="s">
        <v>222</v>
      </c>
    </row>
    <row r="171">
      <c r="A171" s="25">
        <v>46046.091297129635</v>
      </c>
      <c r="B171" s="22" t="s">
        <v>221</v>
      </c>
      <c r="C171" s="22" t="s">
        <v>228</v>
      </c>
    </row>
    <row r="172">
      <c r="A172" s="25">
        <v>46046.09133760417</v>
      </c>
      <c r="B172" s="22" t="s">
        <v>219</v>
      </c>
      <c r="C172" s="22" t="s">
        <v>220</v>
      </c>
    </row>
    <row r="173">
      <c r="A173" s="25">
        <v>46046.09137521991</v>
      </c>
      <c r="B173" s="22" t="s">
        <v>221</v>
      </c>
      <c r="C173" s="22" t="s">
        <v>222</v>
      </c>
    </row>
    <row r="174">
      <c r="A174" s="25">
        <v>46046.09243395833</v>
      </c>
      <c r="B174" s="22" t="s">
        <v>219</v>
      </c>
      <c r="C174" s="22" t="s">
        <v>236</v>
      </c>
    </row>
    <row r="175">
      <c r="A175" s="25">
        <v>46046.092955706015</v>
      </c>
      <c r="B175" s="22" t="s">
        <v>221</v>
      </c>
      <c r="C175" s="22" t="s">
        <v>237</v>
      </c>
    </row>
    <row r="176">
      <c r="A176" s="25">
        <v>46046.092962662035</v>
      </c>
      <c r="B176" s="22" t="s">
        <v>238</v>
      </c>
      <c r="C176" s="22" t="s">
        <v>239</v>
      </c>
    </row>
    <row r="177">
      <c r="A177" s="25">
        <v>46046.093125300926</v>
      </c>
      <c r="B177" s="22" t="s">
        <v>219</v>
      </c>
      <c r="C177" s="22" t="s">
        <v>240</v>
      </c>
    </row>
    <row r="178">
      <c r="A178" s="25">
        <v>46046.09320295139</v>
      </c>
      <c r="B178" s="22" t="s">
        <v>219</v>
      </c>
      <c r="C178" s="22" t="s">
        <v>220</v>
      </c>
    </row>
    <row r="179">
      <c r="A179" s="25">
        <v>46046.0932903125</v>
      </c>
      <c r="B179" s="22" t="s">
        <v>221</v>
      </c>
      <c r="C179" s="22" t="s">
        <v>222</v>
      </c>
    </row>
    <row r="180">
      <c r="A180" s="25">
        <v>46046.09337902778</v>
      </c>
      <c r="B180" s="22" t="s">
        <v>221</v>
      </c>
      <c r="C180" s="22" t="s">
        <v>241</v>
      </c>
    </row>
    <row r="181">
      <c r="A181" s="25">
        <v>46046.093383217594</v>
      </c>
      <c r="B181" s="22" t="s">
        <v>238</v>
      </c>
      <c r="C181" s="22" t="s">
        <v>242</v>
      </c>
    </row>
    <row r="182">
      <c r="A182" s="25">
        <v>46046.093492025466</v>
      </c>
      <c r="B182" s="22" t="s">
        <v>219</v>
      </c>
      <c r="C182" s="22" t="s">
        <v>240</v>
      </c>
    </row>
    <row r="183">
      <c r="A183" s="25">
        <v>46046.095237534726</v>
      </c>
      <c r="B183" s="22" t="s">
        <v>219</v>
      </c>
      <c r="C183" s="22" t="s">
        <v>220</v>
      </c>
    </row>
    <row r="184">
      <c r="A184" s="25">
        <v>46046.09527609954</v>
      </c>
      <c r="B184" s="22" t="s">
        <v>221</v>
      </c>
      <c r="C184" s="22" t="s">
        <v>222</v>
      </c>
    </row>
    <row r="185">
      <c r="A185" s="25">
        <v>46046.09530918981</v>
      </c>
      <c r="B185" s="22" t="s">
        <v>221</v>
      </c>
      <c r="C185" s="22" t="s">
        <v>228</v>
      </c>
    </row>
    <row r="186">
      <c r="A186" s="25">
        <v>46046.09534825232</v>
      </c>
      <c r="B186" s="22" t="s">
        <v>219</v>
      </c>
      <c r="C186" s="22" t="s">
        <v>220</v>
      </c>
    </row>
    <row r="187">
      <c r="A187" s="25">
        <v>46046.095401597224</v>
      </c>
      <c r="B187" s="22" t="s">
        <v>221</v>
      </c>
      <c r="C187" s="22" t="s">
        <v>222</v>
      </c>
    </row>
    <row r="188">
      <c r="A188" s="25">
        <v>46046.095638425926</v>
      </c>
      <c r="B188" s="22" t="s">
        <v>221</v>
      </c>
      <c r="C188" s="22" t="s">
        <v>243</v>
      </c>
    </row>
    <row r="189">
      <c r="A189" s="25">
        <v>46046.09566878472</v>
      </c>
      <c r="B189" s="22" t="s">
        <v>219</v>
      </c>
      <c r="C189" s="22" t="s">
        <v>220</v>
      </c>
    </row>
    <row r="190">
      <c r="A190" s="25">
        <v>46046.09571349537</v>
      </c>
      <c r="B190" s="22" t="s">
        <v>221</v>
      </c>
      <c r="C190" s="22" t="s">
        <v>222</v>
      </c>
    </row>
    <row r="191">
      <c r="A191" s="25">
        <v>46046.09616177084</v>
      </c>
      <c r="B191" s="22" t="s">
        <v>219</v>
      </c>
      <c r="C191" s="22" t="s">
        <v>220</v>
      </c>
    </row>
    <row r="192">
      <c r="A192" s="25">
        <v>46046.09641209491</v>
      </c>
      <c r="B192" s="22" t="s">
        <v>219</v>
      </c>
      <c r="C192" s="22" t="s">
        <v>230</v>
      </c>
    </row>
    <row r="193">
      <c r="A193" s="25">
        <v>46046.09712612268</v>
      </c>
      <c r="B193" s="22" t="s">
        <v>219</v>
      </c>
      <c r="C193" s="22" t="s">
        <v>220</v>
      </c>
    </row>
    <row r="194">
      <c r="A194" s="25">
        <v>46046.097161655096</v>
      </c>
      <c r="B194" s="22" t="s">
        <v>221</v>
      </c>
      <c r="C194" s="22" t="s">
        <v>222</v>
      </c>
    </row>
    <row r="195">
      <c r="A195" s="25">
        <v>46046.0972055787</v>
      </c>
      <c r="B195" s="22" t="s">
        <v>221</v>
      </c>
      <c r="C195" s="22" t="s">
        <v>228</v>
      </c>
    </row>
    <row r="196">
      <c r="A196" s="25">
        <v>46046.09725456018</v>
      </c>
      <c r="B196" s="22" t="s">
        <v>219</v>
      </c>
      <c r="C196" s="22" t="s">
        <v>220</v>
      </c>
    </row>
    <row r="197">
      <c r="A197" s="25">
        <v>46046.09729697916</v>
      </c>
      <c r="B197" s="22" t="s">
        <v>221</v>
      </c>
      <c r="C197" s="22" t="s">
        <v>222</v>
      </c>
    </row>
    <row r="198">
      <c r="A198" s="25">
        <v>46046.09743432871</v>
      </c>
      <c r="B198" s="22" t="s">
        <v>221</v>
      </c>
      <c r="C198" s="22" t="s">
        <v>228</v>
      </c>
    </row>
    <row r="199">
      <c r="A199" s="25">
        <v>46046.097466817126</v>
      </c>
      <c r="B199" s="22" t="s">
        <v>219</v>
      </c>
      <c r="C199" s="22" t="s">
        <v>220</v>
      </c>
    </row>
    <row r="200">
      <c r="A200" s="25">
        <v>46046.097514594905</v>
      </c>
      <c r="B200" s="22" t="s">
        <v>221</v>
      </c>
      <c r="C200" s="22" t="s">
        <v>222</v>
      </c>
    </row>
    <row r="201">
      <c r="A201" s="25">
        <v>46046.09895092592</v>
      </c>
      <c r="B201" s="22" t="s">
        <v>219</v>
      </c>
      <c r="C201" s="22" t="s">
        <v>220</v>
      </c>
    </row>
    <row r="202">
      <c r="A202" s="25">
        <v>46046.098989363425</v>
      </c>
      <c r="B202" s="22" t="s">
        <v>221</v>
      </c>
      <c r="C202" s="22" t="s">
        <v>222</v>
      </c>
    </row>
    <row r="203">
      <c r="A203" s="25">
        <v>46046.09901777778</v>
      </c>
      <c r="B203" s="22" t="s">
        <v>221</v>
      </c>
      <c r="C203" s="22" t="s">
        <v>228</v>
      </c>
    </row>
    <row r="204">
      <c r="A204" s="25">
        <v>46046.09905188657</v>
      </c>
      <c r="B204" s="22" t="s">
        <v>219</v>
      </c>
      <c r="C204" s="22" t="s">
        <v>220</v>
      </c>
    </row>
    <row r="205">
      <c r="A205" s="25">
        <v>46046.0990971412</v>
      </c>
      <c r="B205" s="22" t="s">
        <v>221</v>
      </c>
      <c r="C205" s="22" t="s">
        <v>222</v>
      </c>
    </row>
    <row r="206">
      <c r="A206" s="25">
        <v>46046.09925457176</v>
      </c>
      <c r="B206" s="22" t="s">
        <v>219</v>
      </c>
      <c r="C206" s="22" t="s">
        <v>220</v>
      </c>
    </row>
    <row r="207">
      <c r="A207" s="25">
        <v>46046.09930210648</v>
      </c>
      <c r="B207" s="22" t="s">
        <v>221</v>
      </c>
      <c r="C207" s="22" t="s">
        <v>222</v>
      </c>
    </row>
    <row r="208">
      <c r="A208" s="25">
        <v>46046.09932429398</v>
      </c>
      <c r="B208" s="22" t="s">
        <v>221</v>
      </c>
      <c r="C208" s="22" t="s">
        <v>228</v>
      </c>
    </row>
    <row r="209">
      <c r="A209" s="25">
        <v>46046.099373310186</v>
      </c>
      <c r="B209" s="22" t="s">
        <v>219</v>
      </c>
      <c r="C209" s="22" t="s">
        <v>220</v>
      </c>
    </row>
    <row r="210">
      <c r="A210" s="25">
        <v>46046.09944068287</v>
      </c>
      <c r="B210" s="22" t="s">
        <v>221</v>
      </c>
      <c r="C210" s="22" t="s">
        <v>222</v>
      </c>
    </row>
    <row r="211">
      <c r="A211" s="25">
        <v>46046.099836574074</v>
      </c>
      <c r="B211" s="22" t="s">
        <v>221</v>
      </c>
      <c r="C211" s="22" t="s">
        <v>228</v>
      </c>
    </row>
    <row r="212">
      <c r="A212" s="25">
        <v>46046.0998650463</v>
      </c>
      <c r="B212" s="22" t="s">
        <v>219</v>
      </c>
      <c r="C212" s="22" t="s">
        <v>220</v>
      </c>
    </row>
    <row r="213">
      <c r="A213" s="25">
        <v>46046.09990554398</v>
      </c>
      <c r="B213" s="22" t="s">
        <v>221</v>
      </c>
      <c r="C213" s="22" t="s">
        <v>222</v>
      </c>
    </row>
    <row r="214">
      <c r="A214" s="25">
        <v>46046.10005075231</v>
      </c>
      <c r="B214" s="22" t="s">
        <v>219</v>
      </c>
      <c r="C214" s="22" t="s">
        <v>220</v>
      </c>
    </row>
    <row r="215">
      <c r="A215" s="25">
        <v>46046.100096678245</v>
      </c>
      <c r="B215" s="22" t="s">
        <v>221</v>
      </c>
      <c r="C215" s="22" t="s">
        <v>222</v>
      </c>
    </row>
    <row r="216">
      <c r="A216" s="25">
        <v>46046.10059232639</v>
      </c>
      <c r="B216" s="22" t="s">
        <v>219</v>
      </c>
      <c r="C216" s="22" t="s">
        <v>220</v>
      </c>
    </row>
    <row r="217">
      <c r="A217" s="25">
        <v>46046.100648935186</v>
      </c>
      <c r="B217" s="22" t="s">
        <v>221</v>
      </c>
      <c r="C217" s="22" t="s">
        <v>222</v>
      </c>
    </row>
    <row r="218">
      <c r="A218" s="25">
        <v>46046.101204606486</v>
      </c>
      <c r="B218" s="22" t="s">
        <v>219</v>
      </c>
      <c r="C218" s="22" t="s">
        <v>220</v>
      </c>
    </row>
    <row r="219">
      <c r="A219" s="25">
        <v>46046.10141564815</v>
      </c>
      <c r="B219" s="22" t="s">
        <v>221</v>
      </c>
      <c r="C219" s="22" t="s">
        <v>228</v>
      </c>
    </row>
    <row r="220">
      <c r="A220" s="25">
        <v>46046.101420590276</v>
      </c>
      <c r="B220" s="22" t="s">
        <v>238</v>
      </c>
      <c r="C220" s="22" t="s">
        <v>244</v>
      </c>
    </row>
    <row r="221">
      <c r="A221" s="25">
        <v>46046.101590624996</v>
      </c>
      <c r="B221" s="22" t="s">
        <v>219</v>
      </c>
      <c r="C221" s="22" t="s">
        <v>230</v>
      </c>
    </row>
    <row r="222">
      <c r="A222" s="25">
        <v>46046.10174621528</v>
      </c>
      <c r="B222" s="22" t="s">
        <v>219</v>
      </c>
      <c r="C222" s="22" t="s">
        <v>220</v>
      </c>
    </row>
    <row r="223">
      <c r="A223" s="25">
        <v>46046.104571296295</v>
      </c>
      <c r="B223" s="22" t="s">
        <v>219</v>
      </c>
      <c r="C223" s="22" t="s">
        <v>220</v>
      </c>
    </row>
    <row r="224">
      <c r="A224" s="25">
        <v>46046.104608344904</v>
      </c>
      <c r="B224" s="22" t="s">
        <v>221</v>
      </c>
      <c r="C224" s="22" t="s">
        <v>222</v>
      </c>
    </row>
    <row r="225">
      <c r="A225" s="25">
        <v>46046.104732754626</v>
      </c>
      <c r="B225" s="22" t="s">
        <v>221</v>
      </c>
      <c r="C225" s="22" t="s">
        <v>245</v>
      </c>
    </row>
    <row r="226">
      <c r="A226" s="25">
        <v>46046.10477119213</v>
      </c>
      <c r="B226" s="22" t="s">
        <v>219</v>
      </c>
      <c r="C226" s="22" t="s">
        <v>220</v>
      </c>
    </row>
    <row r="227">
      <c r="A227" s="25">
        <v>46046.10481078704</v>
      </c>
      <c r="B227" s="22" t="s">
        <v>221</v>
      </c>
      <c r="C227" s="22" t="s">
        <v>222</v>
      </c>
    </row>
    <row r="228">
      <c r="A228" s="25">
        <v>46046.10486158565</v>
      </c>
      <c r="B228" s="22" t="s">
        <v>221</v>
      </c>
      <c r="C228" s="22" t="s">
        <v>246</v>
      </c>
    </row>
    <row r="229">
      <c r="A229" s="25">
        <v>46046.10489104167</v>
      </c>
      <c r="B229" s="22" t="s">
        <v>219</v>
      </c>
      <c r="C229" s="22" t="s">
        <v>220</v>
      </c>
    </row>
    <row r="230">
      <c r="A230" s="25">
        <v>46046.10492611111</v>
      </c>
      <c r="B230" s="22" t="s">
        <v>221</v>
      </c>
      <c r="C230" s="22" t="s">
        <v>222</v>
      </c>
    </row>
    <row r="231">
      <c r="A231" s="25">
        <v>46046.10576561342</v>
      </c>
      <c r="B231" s="22" t="s">
        <v>219</v>
      </c>
      <c r="C231" s="22" t="s">
        <v>220</v>
      </c>
    </row>
    <row r="232">
      <c r="A232" s="25">
        <v>46046.10581483797</v>
      </c>
      <c r="B232" s="22" t="s">
        <v>221</v>
      </c>
      <c r="C232" s="22" t="s">
        <v>222</v>
      </c>
    </row>
    <row r="233">
      <c r="A233" s="25">
        <v>46046.10694038194</v>
      </c>
      <c r="B233" s="22" t="s">
        <v>219</v>
      </c>
      <c r="C233" s="22" t="s">
        <v>220</v>
      </c>
    </row>
    <row r="234">
      <c r="A234" s="25">
        <v>46046.106977476855</v>
      </c>
      <c r="B234" s="22" t="s">
        <v>221</v>
      </c>
      <c r="C234" s="22" t="s">
        <v>222</v>
      </c>
    </row>
    <row r="235">
      <c r="A235" s="25">
        <v>46046.10749155092</v>
      </c>
      <c r="B235" s="22" t="s">
        <v>219</v>
      </c>
      <c r="C235" s="22" t="s">
        <v>220</v>
      </c>
    </row>
    <row r="236">
      <c r="A236" s="25">
        <v>46046.107535891206</v>
      </c>
      <c r="B236" s="22" t="s">
        <v>221</v>
      </c>
      <c r="C236" s="22" t="s">
        <v>222</v>
      </c>
    </row>
    <row r="237">
      <c r="A237" s="25">
        <v>46046.10754803241</v>
      </c>
      <c r="B237" s="22" t="s">
        <v>221</v>
      </c>
      <c r="C237" s="22" t="s">
        <v>228</v>
      </c>
    </row>
    <row r="238">
      <c r="A238" s="25">
        <v>46046.107583425925</v>
      </c>
      <c r="B238" s="22" t="s">
        <v>219</v>
      </c>
      <c r="C238" s="22" t="s">
        <v>220</v>
      </c>
    </row>
    <row r="239">
      <c r="A239" s="25">
        <v>46046.10762747686</v>
      </c>
      <c r="B239" s="22" t="s">
        <v>221</v>
      </c>
      <c r="C239" s="22" t="s">
        <v>222</v>
      </c>
    </row>
    <row r="240">
      <c r="A240" s="25">
        <v>46046.107638692134</v>
      </c>
      <c r="B240" s="22" t="s">
        <v>221</v>
      </c>
      <c r="C240" s="22" t="s">
        <v>246</v>
      </c>
    </row>
    <row r="241">
      <c r="A241" s="25">
        <v>46046.10766751158</v>
      </c>
      <c r="B241" s="22" t="s">
        <v>221</v>
      </c>
      <c r="C241" s="22" t="s">
        <v>247</v>
      </c>
    </row>
    <row r="242">
      <c r="A242" s="25">
        <v>46046.107669930556</v>
      </c>
      <c r="B242" s="22" t="s">
        <v>219</v>
      </c>
      <c r="C242" s="22" t="s">
        <v>220</v>
      </c>
    </row>
    <row r="243">
      <c r="A243" s="25">
        <v>46046.107687662035</v>
      </c>
      <c r="B243" s="22" t="s">
        <v>221</v>
      </c>
      <c r="C243" s="22" t="s">
        <v>248</v>
      </c>
    </row>
    <row r="244">
      <c r="A244" s="25">
        <v>46046.107695370374</v>
      </c>
      <c r="B244" s="22" t="s">
        <v>219</v>
      </c>
      <c r="C244" s="22" t="s">
        <v>220</v>
      </c>
    </row>
    <row r="245">
      <c r="A245" s="25">
        <v>46046.10770658565</v>
      </c>
      <c r="B245" s="22" t="s">
        <v>221</v>
      </c>
      <c r="C245" s="22" t="s">
        <v>222</v>
      </c>
    </row>
    <row r="246">
      <c r="A246" s="25">
        <v>46046.10772501158</v>
      </c>
      <c r="B246" s="22" t="s">
        <v>219</v>
      </c>
      <c r="C246" s="22" t="s">
        <v>220</v>
      </c>
    </row>
    <row r="247">
      <c r="A247" s="25">
        <v>46046.10772486111</v>
      </c>
      <c r="B247" s="22" t="s">
        <v>221</v>
      </c>
      <c r="C247" s="22" t="s">
        <v>249</v>
      </c>
    </row>
    <row r="248">
      <c r="A248" s="25">
        <v>46046.1077362963</v>
      </c>
      <c r="B248" s="22" t="s">
        <v>221</v>
      </c>
      <c r="C248" s="22" t="s">
        <v>222</v>
      </c>
    </row>
    <row r="249">
      <c r="A249" s="25">
        <v>46046.10775667824</v>
      </c>
      <c r="B249" s="22" t="s">
        <v>221</v>
      </c>
      <c r="C249" s="22" t="s">
        <v>222</v>
      </c>
    </row>
    <row r="250">
      <c r="A250" s="25">
        <v>46046.107762291664</v>
      </c>
      <c r="B250" s="22" t="s">
        <v>219</v>
      </c>
      <c r="C250" s="22" t="s">
        <v>220</v>
      </c>
    </row>
    <row r="251">
      <c r="A251" s="25">
        <v>46046.10779497685</v>
      </c>
      <c r="B251" s="22" t="s">
        <v>221</v>
      </c>
      <c r="C251" s="22" t="s">
        <v>222</v>
      </c>
    </row>
    <row r="252">
      <c r="A252" s="25">
        <v>46046.10781126157</v>
      </c>
      <c r="B252" s="22" t="s">
        <v>221</v>
      </c>
      <c r="C252" s="22" t="s">
        <v>249</v>
      </c>
    </row>
    <row r="253">
      <c r="A253" s="25">
        <v>46046.10784399306</v>
      </c>
      <c r="B253" s="22" t="s">
        <v>219</v>
      </c>
      <c r="C253" s="22" t="s">
        <v>220</v>
      </c>
    </row>
    <row r="254">
      <c r="A254" s="25">
        <v>46046.10786568287</v>
      </c>
      <c r="B254" s="22" t="s">
        <v>221</v>
      </c>
      <c r="C254" s="22" t="s">
        <v>243</v>
      </c>
    </row>
    <row r="255">
      <c r="A255" s="25">
        <v>46046.10788222222</v>
      </c>
      <c r="B255" s="22" t="s">
        <v>221</v>
      </c>
      <c r="C255" s="22" t="s">
        <v>222</v>
      </c>
    </row>
    <row r="256">
      <c r="A256" s="25">
        <v>46046.10788855324</v>
      </c>
      <c r="B256" s="22" t="s">
        <v>221</v>
      </c>
      <c r="C256" s="22" t="s">
        <v>250</v>
      </c>
    </row>
    <row r="257">
      <c r="A257" s="25">
        <v>46046.107894201385</v>
      </c>
      <c r="B257" s="22" t="s">
        <v>219</v>
      </c>
      <c r="C257" s="22" t="s">
        <v>220</v>
      </c>
    </row>
    <row r="258">
      <c r="A258" s="25">
        <v>46046.10791181713</v>
      </c>
      <c r="B258" s="22" t="s">
        <v>219</v>
      </c>
      <c r="C258" s="22" t="s">
        <v>220</v>
      </c>
    </row>
    <row r="259">
      <c r="A259" s="25">
        <v>46046.10791075231</v>
      </c>
      <c r="B259" s="22" t="s">
        <v>221</v>
      </c>
      <c r="C259" s="22" t="s">
        <v>251</v>
      </c>
    </row>
    <row r="260">
      <c r="A260" s="25">
        <v>46046.10793436343</v>
      </c>
      <c r="B260" s="22" t="s">
        <v>221</v>
      </c>
      <c r="C260" s="22" t="s">
        <v>222</v>
      </c>
    </row>
    <row r="261">
      <c r="A261" s="25">
        <v>46046.107955983796</v>
      </c>
      <c r="B261" s="22" t="s">
        <v>219</v>
      </c>
      <c r="C261" s="22" t="s">
        <v>220</v>
      </c>
    </row>
    <row r="262">
      <c r="A262" s="25">
        <v>46046.1079578125</v>
      </c>
      <c r="B262" s="22" t="s">
        <v>221</v>
      </c>
      <c r="C262" s="22" t="s">
        <v>222</v>
      </c>
    </row>
    <row r="263">
      <c r="A263" s="25">
        <v>46046.10800129629</v>
      </c>
      <c r="B263" s="22" t="s">
        <v>221</v>
      </c>
      <c r="C263" s="22" t="s">
        <v>222</v>
      </c>
    </row>
    <row r="264">
      <c r="A264" s="25">
        <v>46046.108041087966</v>
      </c>
      <c r="B264" s="22" t="s">
        <v>221</v>
      </c>
      <c r="C264" s="22" t="s">
        <v>251</v>
      </c>
    </row>
    <row r="265">
      <c r="A265" s="25">
        <v>46046.10807944444</v>
      </c>
      <c r="B265" s="22" t="s">
        <v>219</v>
      </c>
      <c r="C265" s="22" t="s">
        <v>220</v>
      </c>
    </row>
    <row r="266">
      <c r="A266" s="25">
        <v>46046.1081178125</v>
      </c>
      <c r="B266" s="22" t="s">
        <v>221</v>
      </c>
      <c r="C266" s="22" t="s">
        <v>222</v>
      </c>
    </row>
    <row r="267">
      <c r="A267" s="25">
        <v>46046.108125300925</v>
      </c>
      <c r="B267" s="22" t="s">
        <v>221</v>
      </c>
      <c r="C267" s="22" t="s">
        <v>250</v>
      </c>
    </row>
    <row r="268">
      <c r="A268" s="25">
        <v>46046.108158020834</v>
      </c>
      <c r="B268" s="22" t="s">
        <v>219</v>
      </c>
      <c r="C268" s="22" t="s">
        <v>220</v>
      </c>
    </row>
    <row r="269">
      <c r="A269" s="25">
        <v>46046.10819104167</v>
      </c>
      <c r="B269" s="22" t="s">
        <v>221</v>
      </c>
      <c r="C269" s="22" t="s">
        <v>222</v>
      </c>
    </row>
    <row r="270">
      <c r="A270" s="25">
        <v>46046.10820520834</v>
      </c>
      <c r="B270" s="22" t="s">
        <v>221</v>
      </c>
      <c r="C270" s="22" t="s">
        <v>250</v>
      </c>
    </row>
    <row r="271">
      <c r="A271" s="25">
        <v>46046.108251157406</v>
      </c>
      <c r="B271" s="22" t="s">
        <v>219</v>
      </c>
      <c r="C271" s="22" t="s">
        <v>220</v>
      </c>
    </row>
    <row r="272">
      <c r="A272" s="25">
        <v>46046.10828569444</v>
      </c>
      <c r="B272" s="22" t="s">
        <v>221</v>
      </c>
      <c r="C272" s="22" t="s">
        <v>243</v>
      </c>
    </row>
    <row r="273">
      <c r="A273" s="25">
        <v>46046.10831108796</v>
      </c>
      <c r="B273" s="22" t="s">
        <v>221</v>
      </c>
      <c r="C273" s="22" t="s">
        <v>222</v>
      </c>
    </row>
    <row r="274">
      <c r="A274" s="25">
        <v>46046.10831696759</v>
      </c>
      <c r="B274" s="22" t="s">
        <v>219</v>
      </c>
      <c r="C274" s="22" t="s">
        <v>220</v>
      </c>
    </row>
    <row r="275">
      <c r="A275" s="25">
        <v>46046.10836594907</v>
      </c>
      <c r="B275" s="22" t="s">
        <v>221</v>
      </c>
      <c r="C275" s="22" t="s">
        <v>222</v>
      </c>
    </row>
    <row r="276">
      <c r="A276" s="25">
        <v>46046.10839689815</v>
      </c>
      <c r="B276" s="22" t="s">
        <v>221</v>
      </c>
      <c r="C276" s="22" t="s">
        <v>251</v>
      </c>
    </row>
    <row r="277">
      <c r="A277" s="25">
        <v>46046.10842614583</v>
      </c>
      <c r="B277" s="22" t="s">
        <v>219</v>
      </c>
      <c r="C277" s="22" t="s">
        <v>220</v>
      </c>
    </row>
    <row r="278">
      <c r="A278" s="25">
        <v>46046.10847011574</v>
      </c>
      <c r="B278" s="22" t="s">
        <v>221</v>
      </c>
      <c r="C278" s="22" t="s">
        <v>222</v>
      </c>
    </row>
    <row r="279">
      <c r="A279" s="25">
        <v>46046.10849130787</v>
      </c>
      <c r="B279" s="22" t="s">
        <v>221</v>
      </c>
      <c r="C279" s="22" t="s">
        <v>251</v>
      </c>
    </row>
    <row r="280">
      <c r="A280" s="25">
        <v>46046.10852076389</v>
      </c>
      <c r="B280" s="22" t="s">
        <v>219</v>
      </c>
      <c r="C280" s="22" t="s">
        <v>220</v>
      </c>
    </row>
    <row r="281">
      <c r="A281" s="25">
        <v>46046.10855888889</v>
      </c>
      <c r="B281" s="22" t="s">
        <v>221</v>
      </c>
      <c r="C281" s="22" t="s">
        <v>222</v>
      </c>
    </row>
    <row r="282">
      <c r="A282" s="25">
        <v>46046.10857846065</v>
      </c>
      <c r="B282" s="22" t="s">
        <v>221</v>
      </c>
      <c r="C282" s="22" t="s">
        <v>251</v>
      </c>
    </row>
    <row r="283">
      <c r="A283" s="25">
        <v>46046.10860466435</v>
      </c>
      <c r="B283" s="22" t="s">
        <v>219</v>
      </c>
      <c r="C283" s="22" t="s">
        <v>220</v>
      </c>
    </row>
    <row r="284">
      <c r="A284" s="25">
        <v>46046.1086444213</v>
      </c>
      <c r="B284" s="22" t="s">
        <v>221</v>
      </c>
      <c r="C284" s="22" t="s">
        <v>222</v>
      </c>
    </row>
    <row r="285">
      <c r="A285" s="25">
        <v>46046.10874098379</v>
      </c>
      <c r="B285" s="22" t="s">
        <v>221</v>
      </c>
      <c r="C285" s="22" t="s">
        <v>228</v>
      </c>
    </row>
    <row r="286">
      <c r="A286" s="25">
        <v>46046.108771342595</v>
      </c>
      <c r="B286" s="22" t="s">
        <v>219</v>
      </c>
      <c r="C286" s="22" t="s">
        <v>220</v>
      </c>
    </row>
    <row r="287">
      <c r="A287" s="25">
        <v>46046.108815775464</v>
      </c>
      <c r="B287" s="22" t="s">
        <v>221</v>
      </c>
      <c r="C287" s="22" t="s">
        <v>222</v>
      </c>
    </row>
    <row r="288">
      <c r="A288" s="25">
        <v>46046.10907377314</v>
      </c>
      <c r="B288" s="22" t="s">
        <v>221</v>
      </c>
      <c r="C288" s="22" t="s">
        <v>228</v>
      </c>
    </row>
    <row r="289">
      <c r="A289" s="25">
        <v>46046.1091069213</v>
      </c>
      <c r="B289" s="22" t="s">
        <v>219</v>
      </c>
      <c r="C289" s="22" t="s">
        <v>220</v>
      </c>
    </row>
    <row r="290">
      <c r="A290" s="25">
        <v>46046.10911388889</v>
      </c>
      <c r="B290" s="22" t="s">
        <v>219</v>
      </c>
      <c r="C290" s="22" t="s">
        <v>220</v>
      </c>
    </row>
    <row r="291">
      <c r="A291" s="25">
        <v>46046.10915472222</v>
      </c>
      <c r="B291" s="22" t="s">
        <v>221</v>
      </c>
      <c r="C291" s="22" t="s">
        <v>222</v>
      </c>
    </row>
    <row r="292">
      <c r="A292" s="25">
        <v>46046.109232222225</v>
      </c>
      <c r="B292" s="22" t="s">
        <v>221</v>
      </c>
      <c r="C292" s="22" t="s">
        <v>228</v>
      </c>
    </row>
    <row r="293">
      <c r="A293" s="25">
        <v>46046.10926273148</v>
      </c>
      <c r="B293" s="22" t="s">
        <v>219</v>
      </c>
      <c r="C293" s="22" t="s">
        <v>220</v>
      </c>
    </row>
    <row r="294">
      <c r="A294" s="25">
        <v>46046.10930556713</v>
      </c>
      <c r="B294" s="22" t="s">
        <v>221</v>
      </c>
      <c r="C294" s="22" t="s">
        <v>222</v>
      </c>
    </row>
    <row r="295">
      <c r="A295" s="25">
        <v>46046.11115868056</v>
      </c>
      <c r="B295" s="22" t="s">
        <v>219</v>
      </c>
      <c r="C295" s="22" t="s">
        <v>220</v>
      </c>
    </row>
    <row r="296">
      <c r="A296" s="25">
        <v>46046.11120475695</v>
      </c>
      <c r="B296" s="22" t="s">
        <v>221</v>
      </c>
      <c r="C296" s="22" t="s">
        <v>222</v>
      </c>
    </row>
    <row r="297">
      <c r="A297" s="25">
        <v>46046.111265162035</v>
      </c>
      <c r="B297" s="22" t="s">
        <v>221</v>
      </c>
      <c r="C297" s="22" t="s">
        <v>246</v>
      </c>
    </row>
    <row r="298">
      <c r="A298" s="25">
        <v>46046.11129320602</v>
      </c>
      <c r="B298" s="22" t="s">
        <v>219</v>
      </c>
      <c r="C298" s="22" t="s">
        <v>220</v>
      </c>
    </row>
    <row r="299">
      <c r="A299" s="25">
        <v>46046.11133587963</v>
      </c>
      <c r="B299" s="22" t="s">
        <v>221</v>
      </c>
      <c r="C299" s="22" t="s">
        <v>222</v>
      </c>
    </row>
    <row r="300">
      <c r="A300" s="25">
        <v>46046.11139116898</v>
      </c>
      <c r="B300" s="22" t="s">
        <v>221</v>
      </c>
      <c r="C300" s="22" t="s">
        <v>246</v>
      </c>
    </row>
    <row r="301">
      <c r="A301" s="25">
        <v>46046.11143186342</v>
      </c>
      <c r="B301" s="22" t="s">
        <v>219</v>
      </c>
      <c r="C301" s="22" t="s">
        <v>220</v>
      </c>
    </row>
    <row r="302">
      <c r="A302" s="25">
        <v>46046.111444814815</v>
      </c>
      <c r="B302" s="22" t="s">
        <v>219</v>
      </c>
      <c r="C302" s="22" t="s">
        <v>220</v>
      </c>
    </row>
    <row r="303">
      <c r="A303" s="25">
        <v>46046.11149435185</v>
      </c>
      <c r="B303" s="22" t="s">
        <v>221</v>
      </c>
      <c r="C303" s="22" t="s">
        <v>222</v>
      </c>
    </row>
    <row r="304">
      <c r="A304" s="25">
        <v>46046.11171914352</v>
      </c>
      <c r="B304" s="22" t="s">
        <v>219</v>
      </c>
      <c r="C304" s="22" t="s">
        <v>220</v>
      </c>
    </row>
    <row r="305">
      <c r="A305" s="25">
        <v>46046.111766030095</v>
      </c>
      <c r="B305" s="22" t="s">
        <v>221</v>
      </c>
      <c r="C305" s="22" t="s">
        <v>222</v>
      </c>
    </row>
    <row r="306">
      <c r="A306" s="25">
        <v>46046.1118228125</v>
      </c>
      <c r="B306" s="22" t="s">
        <v>219</v>
      </c>
      <c r="C306" s="22" t="s">
        <v>230</v>
      </c>
    </row>
    <row r="307">
      <c r="A307" s="25">
        <v>46046.11191076389</v>
      </c>
      <c r="B307" s="22" t="s">
        <v>221</v>
      </c>
      <c r="C307" s="22" t="s">
        <v>246</v>
      </c>
    </row>
    <row r="308">
      <c r="A308" s="25">
        <v>46046.11194369213</v>
      </c>
      <c r="B308" s="22" t="s">
        <v>219</v>
      </c>
      <c r="C308" s="22" t="s">
        <v>220</v>
      </c>
    </row>
    <row r="309">
      <c r="A309" s="25">
        <v>46046.111995300926</v>
      </c>
      <c r="B309" s="22" t="s">
        <v>221</v>
      </c>
      <c r="C309" s="22" t="s">
        <v>222</v>
      </c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</sheetData>
  <drawing r:id="rId1"/>
</worksheet>
</file>