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LeaderBinding" sheetId="2" r:id="rId6"/>
    <sheet state="visible" name="IntentDB" sheetId="3" r:id="rId7"/>
    <sheet state="visible" name="Summary" sheetId="4" r:id="rId8"/>
    <sheet state="visible" name="NotifyLog" sheetId="5" r:id="rId9"/>
  </sheets>
  <definedNames/>
  <calcPr/>
</workbook>
</file>

<file path=xl/sharedStrings.xml><?xml version="1.0" encoding="utf-8"?>
<sst xmlns="http://schemas.openxmlformats.org/spreadsheetml/2006/main" count="325" uniqueCount="225">
  <si>
    <t>WaveID</t>
  </si>
  <si>
    <t>商品名稱</t>
  </si>
  <si>
    <t>原價</t>
  </si>
  <si>
    <t>團購價</t>
  </si>
  <si>
    <t>商品描述</t>
  </si>
  <si>
    <t>圖片網址</t>
  </si>
  <si>
    <t>商城連結</t>
  </si>
  <si>
    <t>MOQ</t>
  </si>
  <si>
    <t>選品開始時間</t>
  </si>
  <si>
    <t>選品結束時間</t>
  </si>
  <si>
    <t>販售開始時間</t>
  </si>
  <si>
    <t>販售結束時間</t>
  </si>
  <si>
    <t>2</t>
  </si>
  <si>
    <t>【冷藏出貨】特選白毛台巨峰葡萄 2.5kg</t>
  </si>
  <si>
    <t xml:space="preserve">白毛台巨峰葡萄 500g/袋、5袋/盒
特 色 : 葡萄界的賓利，外銷日本，臺中新社白
毛台巨峰葡萄果實飽滿，新鮮甜酸，天
然又健康。
</t>
  </si>
  <si>
    <t>https://i.duk.tw/ro53ux.jpg</t>
  </si>
  <si>
    <t>https://cpcbcs.cpc.com.tw/cpcpay/eshop/?p1=g&amp;p2=41</t>
  </si>
  <si>
    <t>1</t>
  </si>
  <si>
    <t>【小林製藥】桐灰 小白兔貼式暖暖包</t>
  </si>
  <si>
    <t>10片x2(日本平輸進口)
冬季來臨，薄薄一片貼上身，溫暖加倍。</t>
  </si>
  <si>
    <t>https://i.duk.tw/ranqRp.png</t>
  </si>
  <si>
    <t>https://cpcbcs.cpc.com.tw/cpcpay/eshop/?p1=g&amp;p2=8</t>
  </si>
  <si>
    <t>鋁製A to C磁吸充電傳輸線-1.2M</t>
  </si>
  <si>
    <t>E-books XA46 , 60W極速充電/磁吸收納/鋁合金</t>
  </si>
  <si>
    <t>https://i.duk.tw/wNIArs.jpg</t>
  </si>
  <si>
    <t>https://cpcbcs.cpc.com.tw/cpcpay/eshop/?p1=g&amp;p2=29</t>
  </si>
  <si>
    <t>TATUNG大同 6人份不鏽鋼配件電鍋</t>
  </si>
  <si>
    <t>SUS304不鏽鋼內外鍋- TAC-06L-MCW
加熱均勻，自動保溫※雙重被覆電源線，雙重安全保護
煮飯/粥、蒸、滷、燉多用途
多元料理一鍋多用</t>
  </si>
  <si>
    <t>https://img.91app.com/webapi/imagesV3/Original/SalePage/10974337/5/638898979845630000?v=1</t>
  </si>
  <si>
    <t>https://cpcbcs.cpc.com.tw/cpcpay/eshop/?p1=g&amp;p2=30</t>
  </si>
  <si>
    <t>【韓國Eunjin】 名品蔘雞湯 1000g/包</t>
  </si>
  <si>
    <t>商品重(容)量：內容量:1公斤 固形量:500公克*兩包組
食品添加物名稱：雞肉，糯米，大蒜，紅棗，人參，水，薑，鹽，L-麩酸鈉
原產地(國)：韓國</t>
  </si>
  <si>
    <t>https://i.duk.tw/6eFTNn.jpg</t>
  </si>
  <si>
    <t>https://cpcbcs.cpc.com.tw/cpcpay/eshop/?p1=g&amp;p2=9</t>
  </si>
  <si>
    <t>(新春好禮)多功能快煮鍋</t>
  </si>
  <si>
    <t>■ 內鍋正304不鏽鋼材質製造
■ 一鍵三段式開關，操作簡單方便
■ 外宿族、學生族、輕食烹調好幫手
■ 蒸、煮、燉三合一料理功能
■ 一鍵三段式開關，操作簡單方便</t>
  </si>
  <si>
    <t>https://i.duk.tw/QNeVXa.jpg</t>
  </si>
  <si>
    <t>https://cpcbcs.cpc.com.tw/cpcpay/eshop/?p1=g&amp;p2=10</t>
  </si>
  <si>
    <t>經典非油炸爆薏仁(焦糖)</t>
  </si>
  <si>
    <t>採健康烘培法、低溫烘烤、高壓熟成非油炸
▸ 全程烘烤非油炸。
▸ 手工熬煮焦糖製成。
▸ 微甜香脆好滋味。
▸ 極佳口感更勝爆米花。</t>
  </si>
  <si>
    <t>https://i.duk.tw/uZlWvb.jpg</t>
  </si>
  <si>
    <t>https://cpcbcs.cpc.com.tw/cpcpay/eshop/?p1=g&amp;p2=11</t>
  </si>
  <si>
    <t>[團購]義美草莓小泡芙57g</t>
  </si>
  <si>
    <t>大人小孩都喜歡的國民零食✨
濃厚內餡包覆在酥脆餅殼內，香氣十足，
一顆一口大小剛好，愈吃愈ㄙㄨㄚˋ嘴，
一不小心就吃完一整盒</t>
  </si>
  <si>
    <t>https://i.duk.tw/FvJGZ8.jpg</t>
  </si>
  <si>
    <t>https://cpcbcs.cpc.com.tw/cpcpay/eshop/?p1=g&amp;p2=31</t>
  </si>
  <si>
    <t>[團購]義美純麥取向蘇打餅乾341g</t>
  </si>
  <si>
    <t>營養標示：每一份量34.1公克 / 本包裝含10份</t>
  </si>
  <si>
    <t>https://i.duk.tw/NTBMf1.jpg</t>
  </si>
  <si>
    <t>https://cpcbcs.cpc.com.tw/cpcpay/eshop/?p1=g&amp;p2=12</t>
  </si>
  <si>
    <t>[團購]喜年來小金牛角35g</t>
  </si>
  <si>
    <t>金牛角-原味35公克</t>
  </si>
  <si>
    <t>https://i.duk.tw/KSXRBA.jpg</t>
  </si>
  <si>
    <t>https://cpcbcs.cpc.com.tw/cpcpay/eshop/?p1=g&amp;p2=13</t>
  </si>
  <si>
    <t>&lt;統一生機&gt; 杏仁小魚*3包</t>
  </si>
  <si>
    <t>v嚴選優質杏仁條x芝麻調味小魚干
v採用低溫烘烤、保留原始風味及營養成分
v本產品每21.5公克→鈣含97.4毫克
v豐富鈣質，有助於維持骨骼與牙齒的正常發育及健康</t>
  </si>
  <si>
    <t>https://i.duk.tw/Vp7tQK.jpg</t>
  </si>
  <si>
    <t>https://cpcbcs.cpc.com.tw/cpcpay/eshop/?p1=g&amp;p2=32</t>
  </si>
  <si>
    <t>【光禾市集】食誠良品 手工千層娃娃酥心糖－綜合</t>
  </si>
  <si>
    <t>🏆40年製糖家族，以精湛傳統手藝手工製作
🏆嚴選台灣在地食材製作，100%無香料、無添加
🏆多種口味可選，傳統娃娃酥也能吃到嶄新風味
🏆使用海藻糖與麥芽糖調製，甜而不膩、爽口涮嘴，熱量比傳統酥心糖低10%
🏆銀白糖衣厚薄有差異，品嚐得出純手工的獨特風味</t>
  </si>
  <si>
    <t>https://i.duk.tw/7Sx3O2.jpg</t>
  </si>
  <si>
    <t>https://cpcbcs.cpc.com.tw/cpcpay/eshop/?p1=g&amp;p2=14</t>
  </si>
  <si>
    <t>【光禾市集】食誠良品 台灣牛奶蜜棗乾300g</t>
  </si>
  <si>
    <t>😍 來自南台灣的鮮甜美味！ 契作牛奶蜜棗整顆製作
😍純天然、無添加、無防腐劑
😍 果肉厚實軟硬適中，不黏牙不費牙
😍 保留蜜棗滋味，微甜不膩，回甘潤口
😍 營養價值豐富，全家大小都愛的在地美味
😍 TAF實驗室防腐劑零檢出、國泰1000萬產品責任險</t>
  </si>
  <si>
    <t>https://i.duk.tw/XsqQUI.jpg</t>
  </si>
  <si>
    <t>https://cpcbcs.cpc.com.tw/cpcpay/eshop/?p1=g&amp;p2=15</t>
  </si>
  <si>
    <t>【光禾市集】逮丸三兄弟鮮蝦餅(原味)80g</t>
  </si>
  <si>
    <t>● 口味：正港原味
● 每包重量：80g±5％ /包
● 成團門檻：12包以上</t>
  </si>
  <si>
    <t>https://i.duk.tw/9yIqdm.jpg</t>
  </si>
  <si>
    <t>https://cpcbcs.cpc.com.tw/cpcpay/eshop/?p1=g&amp;p2=33</t>
  </si>
  <si>
    <t>參虎吃不停爆紅薏仁</t>
  </si>
  <si>
    <t>規格:150g±10g/罐
參虎爆紅薏仁 - 好吃到停不下來
嚴選紅薏仁，含豐富薏仁脂、植物性蛋白質高營養膳食纖維</t>
  </si>
  <si>
    <t>https://i.duk.tw/R7ML7P.png</t>
  </si>
  <si>
    <t>https://cpcbcs.cpc.com.tw/cpcpay/eshop/?p1=g&amp;p2=64</t>
  </si>
  <si>
    <t>123</t>
  </si>
  <si>
    <t>7入(綠茶風味)
商品重(容)量：20公克*7入</t>
  </si>
  <si>
    <t>https://i.duk.tw/GFDQl4.jpg</t>
  </si>
  <si>
    <t>https://cpcbcs.cpc.com.tw/cpcpay/eshop/?p1=g&amp;p2=44</t>
  </si>
  <si>
    <t>【韓國SAM'S】濟州牛島風味夾心餅(柑橘風味)</t>
  </si>
  <si>
    <t>7入(柑橘風味)
商品重(容)量：20公克*7入</t>
  </si>
  <si>
    <t>https://i.duk.tw/thAQGL.jpg</t>
  </si>
  <si>
    <t>https://cpcbcs.cpc.com.tw/cpcpay/eshop/?p1=g&amp;p2=45</t>
  </si>
  <si>
    <t>統一生機 海鹽洋芋片</t>
  </si>
  <si>
    <t>規格: 50公克
產地: 台灣</t>
  </si>
  <si>
    <t>https://i.duk.tw/IYeqUW.jpg</t>
  </si>
  <si>
    <t>https://cpcbcs.cpc.com.tw/cpcpay/eshop/?p1=g&amp;p2=95</t>
  </si>
  <si>
    <t>【雙龍牌雨傘】</t>
  </si>
  <si>
    <t>超強防風自動摺疊傘
雨傘顏色(共8色)隨機出貨，不挑色</t>
  </si>
  <si>
    <t>https://i.duk.tw/1oKXM6.jpg</t>
  </si>
  <si>
    <t>https://cpcbcs.cpc.com.tw/cpcpay/eshop/?p1=g&amp;p2=47</t>
  </si>
  <si>
    <t>【光禾市集】小農手作無添加花生糖</t>
  </si>
  <si>
    <t xml:space="preserve">重量：300g±5％
【食誠良品】小農手作無添加花生糖
👍嚴選雲林新鮮採收花生製作
</t>
  </si>
  <si>
    <t>https://i.duk.tw/Feq3E7.jpg</t>
  </si>
  <si>
    <t>https://cpcbcs.cpc.com.tw/cpcpay/eshop/?p1=g&amp;p2=48</t>
  </si>
  <si>
    <t>【My料理所】濃雞白湯火鍋湯底</t>
  </si>
  <si>
    <t>金車 / my料理所
845 公克</t>
  </si>
  <si>
    <t>https://i.duk.tw/HyoTLh.jpg</t>
  </si>
  <si>
    <t>https://cpcbcs.cpc.com.tw/cpcpay/eshop/?p1=g&amp;p2=51</t>
  </si>
  <si>
    <t>【My料理所】川香麻辣火鍋湯底</t>
  </si>
  <si>
    <t>https://i.duk.tw/APiZMB.jpg</t>
  </si>
  <si>
    <t>https://cpcbcs.cpc.com.tw/cpcpay/eshop/?p1=g&amp;p2=49</t>
  </si>
  <si>
    <t>【My料理所】日式咖哩牛</t>
  </si>
  <si>
    <t>https://i.duk.tw/CXOK8X.jpg</t>
  </si>
  <si>
    <t>https://cpcbcs.cpc.com.tw/cpcpay/eshop/?p1=g&amp;p2=50</t>
  </si>
  <si>
    <t>Crystal Valley礦沛氣泡水</t>
  </si>
  <si>
    <t>商品組合/規格：6罐/每罐330ml
商品重(容)量：330ml</t>
  </si>
  <si>
    <t>https://i.duk.tw/ZSphT0.jpg</t>
  </si>
  <si>
    <t>https://cpcbcs.cpc.com.tw/cpcpay/eshop/?p1=g&amp;p2=82</t>
  </si>
  <si>
    <t>伯朗甜香美式</t>
  </si>
  <si>
    <t>品名：伯朗甜香美式咖啡(含糖)
保存期限：24個月
規格：每包6罐/每罐240ml</t>
  </si>
  <si>
    <t>https://i.duk.tw/CA3vSB.jpg</t>
  </si>
  <si>
    <t>https://cpcbcs.cpc.com.tw/cpcpay/eshop/?p1=g&amp;p2=101</t>
  </si>
  <si>
    <t>招牌特厚蜜汁豬肉乾</t>
  </si>
  <si>
    <t>招牌特厚蜜汁豬肉乾(200公克)</t>
  </si>
  <si>
    <t>https://i.duk.tw/9TVffj.png</t>
  </si>
  <si>
    <t>https://cpcbcs.cpc.com.tw/cpcpay/eshop/?p1=g&amp;p2=52</t>
  </si>
  <si>
    <t>義美巧克力小泡芙57g</t>
  </si>
  <si>
    <t>https://i.duk.tw/5iJ7QK.jpg</t>
  </si>
  <si>
    <t>https://cpcbcs.cpc.com.tw/cpcpay/eshop/?p1=g&amp;p2=61</t>
  </si>
  <si>
    <t>【KAO】HAITER浴室泡沫漂白噴霧</t>
  </si>
  <si>
    <t>KAO清潔劑套組(400ml+400ml)(日本平輸進口)
分解霉垢，兼具漂白作用
迅速滲入頑垢內部、分解並去除污垢及霉菌</t>
  </si>
  <si>
    <t>https://i.duk.tw/zS01D4.png</t>
  </si>
  <si>
    <t>https://cpcbcs.cpc.com.tw/cpcpay/eshop/?p1=g&amp;p2=62</t>
  </si>
  <si>
    <t>【LEC超值組】激落君 強力除霉泡泡</t>
  </si>
  <si>
    <t>噴劑400ml+補充瓶400ml)(日本平輸進口)
浴室除黴超強幫手!!
簡單一噴，強力除黴效果浴室亮晶晶</t>
  </si>
  <si>
    <t>https://i.duk.tw/1l5H7z.png</t>
  </si>
  <si>
    <t>https://cpcbcs.cpc.com.tw/cpcpay/eshop/?p1=g&amp;p2=42</t>
  </si>
  <si>
    <t>【Loshi 】馬油護膚乳液</t>
  </si>
  <si>
    <t xml:space="preserve">485mlx2入(日本平輸進口)
</t>
  </si>
  <si>
    <t>https://i.duk.tw/2IoPEY.png</t>
  </si>
  <si>
    <t>https://cpcbcs.cpc.com.tw/cpcpay/eshop/?p1=g&amp;p2=63</t>
  </si>
  <si>
    <t xml:space="preserve">【Loshi 】馬油保濕乳霜 </t>
  </si>
  <si>
    <t xml:space="preserve"> 220gx2(日本平輸進口)
</t>
  </si>
  <si>
    <t>https://i.duk.tw/xsk3Y8.png</t>
  </si>
  <si>
    <t>https://cpcbcs.cpc.com.tw/cpcpay/eshop/?p1=g&amp;p2=43</t>
  </si>
  <si>
    <t>3</t>
  </si>
  <si>
    <t>食誠良品 手工低糖南棗核桃糕</t>
  </si>
  <si>
    <t>200g－3包組</t>
  </si>
  <si>
    <t>https://drive.google.com/thumbnail?id=1pDFuL4P9Fs-gEch_MQK1HvGXxdxqjC6f&amp;sz=w1200</t>
  </si>
  <si>
    <t>https://cpcbcs.cpc.com.tw/cpcpay/eshop/?p1=g&amp;p2=87</t>
  </si>
  <si>
    <t>77 系列超值綜合包</t>
  </si>
  <si>
    <t>超值綜合包 280G</t>
  </si>
  <si>
    <t>https://drive.google.com/thumbnail?id=1zW7xEw0SEDEByO1r9VcjstMd0ksYfP-X&amp;sz=w1200</t>
  </si>
  <si>
    <t>https://cpcbcs.cpc.com.tw/cpcpay/eshop/?p1=g&amp;p2=109</t>
  </si>
  <si>
    <t>【泰國MAGMAG】還魂梅</t>
  </si>
  <si>
    <t>186g/包</t>
  </si>
  <si>
    <t>https://drive.google.com/thumbnail?id=1sJG9xHDMT_Aap23kddx_kIgCUDXd5_2U&amp;sz=w1200</t>
  </si>
  <si>
    <t>https://cpcbcs.cpc.com.tw/cpcpay/eshop/?p1=g&amp;p2=122</t>
  </si>
  <si>
    <t>逮丸三兄弟鮮蝦餅(辣味)</t>
  </si>
  <si>
    <t>(辣味)80g</t>
  </si>
  <si>
    <t>https://drive.google.com/thumbnail?id=1BmnHRE6ZNN4EpEY5cdfuV0O9VYWZF2th&amp;sz=w1200</t>
  </si>
  <si>
    <t>https://cpcbcs.cpc.com.tw/cpcpay/eshop/?p1=g&amp;p2=88</t>
  </si>
  <si>
    <t>四秀竹山冬筍餅</t>
  </si>
  <si>
    <t xml:space="preserve">包裝份量 每份40g，本包裝含3份 </t>
  </si>
  <si>
    <t>https://drive.google.com/thumbnail?id=1rAxgwBNC5lvwmp5x8dvv7ewyckichLe_&amp;sz=w1200</t>
  </si>
  <si>
    <t>https://cpcbcs.cpc.com.tw/cpcpay/eshop/?p1=g&amp;p2=85</t>
  </si>
  <si>
    <t>義美牛奶小泡芙</t>
  </si>
  <si>
    <t>57g，4包組</t>
  </si>
  <si>
    <t>https://drive.google.com/thumbnail?id=1B2ZVNHs1P34ujzp21Xm9NMNGRt5NmqVm&amp;sz=w1200</t>
  </si>
  <si>
    <t>https://cpcbcs.cpc.com.tw/cpcpay/eshop/?p1=g&amp;p2=103</t>
  </si>
  <si>
    <t>統一生機-醇厚黑芝麻餅</t>
  </si>
  <si>
    <t>124g/包，3包組</t>
  </si>
  <si>
    <t>https://drive.google.com/thumbnail?id=1rpAZQGOE2X_BynoKNt-HzICOqj_Q688E&amp;sz=w1200</t>
  </si>
  <si>
    <t>https://cpcbcs.cpc.com.tw/cpcpay/eshop/?p1=g&amp;p2=106</t>
  </si>
  <si>
    <t>統一生機 義式椒鹽蘇打餅</t>
  </si>
  <si>
    <t>108g/包，3包組</t>
  </si>
  <si>
    <t>https://drive.google.com/thumbnail?id=1fb7R7tuBViwjp9Bs5nZcDh_GHq1SLHIV&amp;sz=w1200</t>
  </si>
  <si>
    <t>https://cpcbcs.cpc.com.tw/cpcpay/eshop/?p1=g&amp;p2=107</t>
  </si>
  <si>
    <t>【My料理所】胡椒豬肚火鍋湯底</t>
  </si>
  <si>
    <t>(900g/包)</t>
  </si>
  <si>
    <t>https://drive.google.com/thumbnail?id=1j0YAkr1IowGxWzfeVyHZ8n_JPj154C2w&amp;sz=w1200</t>
  </si>
  <si>
    <t>https://cpcbcs.cpc.com.tw/cpcpay/eshop/?p1=g&amp;p2=89</t>
  </si>
  <si>
    <t>【My料理所】筍絲控肉</t>
  </si>
  <si>
    <t>(565g/包)</t>
  </si>
  <si>
    <t>https://drive.google.com/thumbnail?id=1k4Dcf9-vJhU-cyb-NCaWVgumX8ZkZde1&amp;sz=w1200</t>
  </si>
  <si>
    <t>https://cpcbcs.cpc.com.tw/cpcpay/eshop/?p1=g&amp;p2=110</t>
  </si>
  <si>
    <t>【My料理所】紅燒牛肉</t>
  </si>
  <si>
    <t>(390g/包)</t>
  </si>
  <si>
    <t>https://drive.google.com/thumbnail?id=1lR4kqfv6EpQHq0i13xtLVIxGGpdarpWG&amp;sz=w1200</t>
  </si>
  <si>
    <t>https://cpcbcs.cpc.com.tw/cpcpay/eshop/?p1=g&amp;p2=90</t>
  </si>
  <si>
    <t>義美起司取向蘇打餅乾</t>
  </si>
  <si>
    <t>每一份量30公克 / 本包裝含10份</t>
  </si>
  <si>
    <t>https://drive.google.com/thumbnail?id=1eKCQC8mMZ78H182M41MEkn2XsJEdwm30&amp;sz=w1200</t>
  </si>
  <si>
    <t>https://cpcbcs.cpc.com.tw/cpcpay/eshop/?p1=g&amp;p2=104</t>
  </si>
  <si>
    <t>喜年來小蔬菜餅乾</t>
  </si>
  <si>
    <t>每一份量50公克</t>
  </si>
  <si>
    <t>https://drive.google.com/thumbnail?id=1Y5_9VdNZ2y785ypBvDfHz7Gsxg93-IcM&amp;sz=w1200</t>
  </si>
  <si>
    <t>https://cpcbcs.cpc.com.tw/cpcpay/eshop/?p1=g&amp;p2=105</t>
  </si>
  <si>
    <t>金鑽鳳梨酵素單瓶</t>
  </si>
  <si>
    <t>420毫升</t>
  </si>
  <si>
    <t>https://drive.google.com/thumbnail?id=136JESPlImdrUXkE11pZ_8gh9gwJzJse2&amp;sz=w1200</t>
  </si>
  <si>
    <t>https://cpcbcs.cpc.com.tw/cpcpay/eshop/?p1=g&amp;p2=108</t>
  </si>
  <si>
    <t>4</t>
  </si>
  <si>
    <t>test</t>
  </si>
  <si>
    <t>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420毫升</t>
  </si>
  <si>
    <t>test2</t>
  </si>
  <si>
    <t>420毫升420毫升420毫升420毫升420毫升420毫升420毫升420毫升420毫升420毫升</t>
  </si>
  <si>
    <t>test3</t>
  </si>
  <si>
    <t>唯一金鑰</t>
  </si>
  <si>
    <t>所屬波段</t>
  </si>
  <si>
    <t>團主 ID</t>
  </si>
  <si>
    <t>使用者 ID</t>
  </si>
  <si>
    <t>團主名稱</t>
  </si>
  <si>
    <t>綁定時間</t>
  </si>
  <si>
    <t>已啟用商品名單</t>
  </si>
  <si>
    <t>Ub6e6a2d6e6358bd68b656638e974b1c6_2</t>
  </si>
  <si>
    <t>Ub6e6a2d6e6358bd68b656638e974b1c6</t>
  </si>
  <si>
    <t>POPO</t>
  </si>
  <si>
    <t>波段</t>
  </si>
  <si>
    <t>團員 ID</t>
  </si>
  <si>
    <t>數量</t>
  </si>
  <si>
    <t>更新時間</t>
  </si>
  <si>
    <t>團員暱稱</t>
  </si>
  <si>
    <t>Ub6e6a2d6e6358bd68b656638e974b1c6_2_Ub6e6a2d6e6358bd68b656638e974b1c6_test</t>
  </si>
  <si>
    <t>https://profile.line-scdn.net/0hWc0NtGO9CEwdNxcMGrp2cm1nCyY-RlFeOAQTfysxA3pzUEkeZgRBIiA0UX4hAUYZZVgXfSgyV3g_BQhhLVAAQys0CR9DQi5sURVHT0ZIHR51bCdjRQI4SitTBXlbQkxGWSQGRFhFDiV2XAccawM4d1xrFilTWk55UWBkGhgFZs9yNX8ZMFBOLCA-VX6l</t>
  </si>
  <si>
    <t>Ub6e6a2d6e6358bd68b656638e974b1c6_2_Ub6e6a2d6e6358bd68b656638e974b1c6_test2</t>
  </si>
  <si>
    <t>Timestamp</t>
  </si>
  <si>
    <t>Type</t>
  </si>
  <si>
    <t>Data</t>
  </si>
  <si>
    <t>doGet</t>
  </si>
  <si>
    <t>{"leaderId":"Ub6e6a2d6e6358bd68b656638e974b1c6","userId":"Ub6e6a2d6e6358bd68b656638e974b1c6"}</t>
  </si>
  <si>
    <t>doPost</t>
  </si>
  <si>
    <t>{"action":"auto_register_leader","wave":"2","leaderId":"Ub6e6a2d6e6358bd68b656638e974b1c6","leaderName":"POPO"}</t>
  </si>
  <si>
    <t>{"action":"enable_product","wave":"2","leaderId":"Ub6e6a2d6e6358bd68b656638e974b1c6","leaderName":"POPO","prodName":"123","isEnabled":true}</t>
  </si>
  <si>
    <t>{"action":"enable_product","wave":"2","leaderId":"Ub6e6a2d6e6358bd68b656638e974b1c6","leaderName":"POPO","prodName":"123","isEnabled":false}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</si>
</sst>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m/d/yyyy h:mm:ss"/>
  </numFmts>
  <fonts count="1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rgb="FF3B3B3B"/>
      <name val="&quot;Segoe WPC&quot;"/>
    </font>
    <font>
      <sz val="11.0"/>
      <color rgb="FF3B3B3B"/>
      <name val="Arial"/>
    </font>
    <font>
      <b/>
      <color theme="1"/>
      <name val="Arial"/>
      <scheme val="minor"/>
    </font>
    <font>
      <sz val="12.0"/>
      <color theme="1"/>
      <name val="Arial"/>
      <scheme val="minor"/>
    </font>
    <font>
      <sz val="12.0"/>
      <color theme="1"/>
      <name val="Arial"/>
    </font>
    <font>
      <u/>
      <sz val="12.0"/>
      <color rgb="FF1155CC"/>
      <name val="Arial"/>
    </font>
    <font>
      <sz val="12.0"/>
      <color rgb="FF212529"/>
      <name val="&quot;Noto Sans Mono&quot;"/>
    </font>
    <font>
      <u/>
      <sz val="12.0"/>
      <color rgb="FF1155CC"/>
      <name val="Arial"/>
    </font>
    <font>
      <sz val="12.0"/>
      <color theme="1"/>
      <name val="Calibri"/>
    </font>
    <font>
      <u/>
      <sz val="12.0"/>
      <color rgb="FF0000FF"/>
    </font>
    <font>
      <u/>
      <sz val="12.0"/>
      <color rgb="FF1155CC"/>
      <name val="Arial"/>
    </font>
    <font>
      <color theme="1"/>
      <name val="Arial"/>
      <scheme val="minor"/>
    </font>
    <font>
      <u/>
      <color rgb="FF0000FF"/>
    </font>
    <font>
      <b/>
      <color theme="1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2" fontId="2" numFmtId="49" xfId="0" applyAlignment="1" applyFill="1" applyFont="1" applyNumberFormat="1">
      <alignment readingOrder="0"/>
    </xf>
    <xf borderId="0" fillId="2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49" xfId="0" applyAlignment="1" applyFont="1" applyNumberFormat="1">
      <alignment readingOrder="0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5" numFmtId="0" xfId="0" applyFont="1"/>
    <xf borderId="0" fillId="2" fontId="8" numFmtId="164" xfId="0" applyAlignment="1" applyFont="1" applyNumberFormat="1">
      <alignment horizontal="left" readingOrder="0" shrinkToFit="0" wrapText="0"/>
    </xf>
    <xf borderId="0" fillId="2" fontId="9" numFmtId="0" xfId="0" applyAlignment="1" applyFont="1">
      <alignment vertical="bottom"/>
    </xf>
    <xf borderId="0" fillId="0" fontId="10" numFmtId="49" xfId="0" applyAlignment="1" applyFont="1" applyNumberFormat="1">
      <alignment vertical="bottom"/>
    </xf>
    <xf borderId="0" fillId="2" fontId="6" numFmtId="49" xfId="0" applyAlignment="1" applyFont="1" applyNumberFormat="1">
      <alignment vertical="bottom"/>
    </xf>
    <xf borderId="0" fillId="2" fontId="6" numFmtId="0" xfId="0" applyAlignment="1" applyFont="1">
      <alignment horizontal="right" vertical="bottom"/>
    </xf>
    <xf borderId="0" fillId="2" fontId="6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2" fontId="6" numFmtId="49" xfId="0" applyAlignment="1" applyFont="1" applyNumberFormat="1">
      <alignment readingOrder="0" vertical="bottom"/>
    </xf>
    <xf borderId="0" fillId="2" fontId="6" numFmtId="0" xfId="0" applyAlignment="1" applyFont="1">
      <alignment vertical="bottom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6" numFmtId="49" xfId="0" applyAlignment="1" applyFont="1" applyNumberFormat="1">
      <alignment readingOrder="0" vertical="bottom"/>
    </xf>
    <xf borderId="0" fillId="0" fontId="13" numFmtId="49" xfId="0" applyFont="1" applyNumberFormat="1"/>
    <xf borderId="0" fillId="0" fontId="13" numFmtId="0" xfId="0" applyAlignment="1" applyFont="1">
      <alignment readingOrder="0"/>
    </xf>
    <xf borderId="1" fillId="2" fontId="2" numFmtId="0" xfId="0" applyAlignment="1" applyBorder="1" applyFont="1">
      <alignment readingOrder="0"/>
    </xf>
    <xf borderId="0" fillId="0" fontId="13" numFmtId="165" xfId="0" applyAlignment="1" applyFont="1" applyNumberFormat="1">
      <alignment readingOrder="0"/>
    </xf>
    <xf borderId="0" fillId="0" fontId="13" numFmtId="49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5" numFmtId="165" xfId="0" applyAlignment="1" applyFont="1" applyNumberFormat="1">
      <alignment readingOrder="0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pcbcs.cpc.com.tw/cpcpay/eshop/?p1=g&amp;p2=48" TargetMode="External"/><Relationship Id="rId42" Type="http://schemas.openxmlformats.org/officeDocument/2006/relationships/hyperlink" Target="https://cpcbcs.cpc.com.tw/cpcpay/eshop/?p1=g&amp;p2=51" TargetMode="External"/><Relationship Id="rId41" Type="http://schemas.openxmlformats.org/officeDocument/2006/relationships/hyperlink" Target="https://i.duk.tw/HyoTLh.jpg" TargetMode="External"/><Relationship Id="rId44" Type="http://schemas.openxmlformats.org/officeDocument/2006/relationships/hyperlink" Target="https://cpcbcs.cpc.com.tw/cpcpay/eshop/?p1=g&amp;p2=49" TargetMode="External"/><Relationship Id="rId43" Type="http://schemas.openxmlformats.org/officeDocument/2006/relationships/hyperlink" Target="https://i.duk.tw/APiZMB.jpg" TargetMode="External"/><Relationship Id="rId46" Type="http://schemas.openxmlformats.org/officeDocument/2006/relationships/hyperlink" Target="https://cpcbcs.cpc.com.tw/cpcpay/eshop/?p1=g&amp;p2=50" TargetMode="External"/><Relationship Id="rId45" Type="http://schemas.openxmlformats.org/officeDocument/2006/relationships/hyperlink" Target="https://i.duk.tw/CXOK8X.jpg" TargetMode="External"/><Relationship Id="rId48" Type="http://schemas.openxmlformats.org/officeDocument/2006/relationships/hyperlink" Target="https://cpcbcs.cpc.com.tw/cpcpay/eshop/?p1=g&amp;p2=82" TargetMode="External"/><Relationship Id="rId47" Type="http://schemas.openxmlformats.org/officeDocument/2006/relationships/hyperlink" Target="https://i.duk.tw/ZSphT0.jpg" TargetMode="External"/><Relationship Id="rId49" Type="http://schemas.openxmlformats.org/officeDocument/2006/relationships/hyperlink" Target="https://i.duk.tw/CA3vSB.jpg" TargetMode="External"/><Relationship Id="rId31" Type="http://schemas.openxmlformats.org/officeDocument/2006/relationships/hyperlink" Target="https://i.duk.tw/GFDQl4.jpg" TargetMode="External"/><Relationship Id="rId30" Type="http://schemas.openxmlformats.org/officeDocument/2006/relationships/hyperlink" Target="https://cpcbcs.cpc.com.tw/cpcpay/eshop/?p1=g&amp;p2=64" TargetMode="External"/><Relationship Id="rId33" Type="http://schemas.openxmlformats.org/officeDocument/2006/relationships/hyperlink" Target="https://i.duk.tw/thAQGL.jpg" TargetMode="External"/><Relationship Id="rId32" Type="http://schemas.openxmlformats.org/officeDocument/2006/relationships/hyperlink" Target="https://cpcbcs.cpc.com.tw/cpcpay/eshop/?p1=g&amp;p2=44" TargetMode="External"/><Relationship Id="rId35" Type="http://schemas.openxmlformats.org/officeDocument/2006/relationships/hyperlink" Target="https://i.duk.tw/IYeqUW.jpg" TargetMode="External"/><Relationship Id="rId34" Type="http://schemas.openxmlformats.org/officeDocument/2006/relationships/hyperlink" Target="https://cpcbcs.cpc.com.tw/cpcpay/eshop/?p1=g&amp;p2=45" TargetMode="External"/><Relationship Id="rId37" Type="http://schemas.openxmlformats.org/officeDocument/2006/relationships/hyperlink" Target="https://i.duk.tw/1oKXM6.jpg" TargetMode="External"/><Relationship Id="rId36" Type="http://schemas.openxmlformats.org/officeDocument/2006/relationships/hyperlink" Target="https://cpcbcs.cpc.com.tw/cpcpay/eshop/?p1=g&amp;p2=95" TargetMode="External"/><Relationship Id="rId39" Type="http://schemas.openxmlformats.org/officeDocument/2006/relationships/hyperlink" Target="https://i.duk.tw/Feq3E7.jpg" TargetMode="External"/><Relationship Id="rId38" Type="http://schemas.openxmlformats.org/officeDocument/2006/relationships/hyperlink" Target="https://cpcbcs.cpc.com.tw/cpcpay/eshop/?p1=g&amp;p2=47" TargetMode="External"/><Relationship Id="rId20" Type="http://schemas.openxmlformats.org/officeDocument/2006/relationships/hyperlink" Target="https://cpcbcs.cpc.com.tw/cpcpay/eshop/?p1=g&amp;p2=13" TargetMode="External"/><Relationship Id="rId22" Type="http://schemas.openxmlformats.org/officeDocument/2006/relationships/hyperlink" Target="https://cpcbcs.cpc.com.tw/cpcpay/eshop/?p1=g&amp;p2=32" TargetMode="External"/><Relationship Id="rId21" Type="http://schemas.openxmlformats.org/officeDocument/2006/relationships/hyperlink" Target="https://i.duk.tw/Vp7tQK.jpg" TargetMode="External"/><Relationship Id="rId24" Type="http://schemas.openxmlformats.org/officeDocument/2006/relationships/hyperlink" Target="https://cpcbcs.cpc.com.tw/cpcpay/eshop/?p1=g&amp;p2=14" TargetMode="External"/><Relationship Id="rId23" Type="http://schemas.openxmlformats.org/officeDocument/2006/relationships/hyperlink" Target="https://i.duk.tw/7Sx3O2.jpg" TargetMode="External"/><Relationship Id="rId26" Type="http://schemas.openxmlformats.org/officeDocument/2006/relationships/hyperlink" Target="https://cpcbcs.cpc.com.tw/cpcpay/eshop/?p1=g&amp;p2=15" TargetMode="External"/><Relationship Id="rId25" Type="http://schemas.openxmlformats.org/officeDocument/2006/relationships/hyperlink" Target="https://i.duk.tw/XsqQUI.jpg" TargetMode="External"/><Relationship Id="rId28" Type="http://schemas.openxmlformats.org/officeDocument/2006/relationships/hyperlink" Target="https://cpcbcs.cpc.com.tw/cpcpay/eshop/?p1=g&amp;p2=33" TargetMode="External"/><Relationship Id="rId27" Type="http://schemas.openxmlformats.org/officeDocument/2006/relationships/hyperlink" Target="https://i.duk.tw/9yIqdm.jpg" TargetMode="External"/><Relationship Id="rId29" Type="http://schemas.openxmlformats.org/officeDocument/2006/relationships/hyperlink" Target="https://i.duk.tw/R7ML7P.png" TargetMode="External"/><Relationship Id="rId95" Type="http://schemas.openxmlformats.org/officeDocument/2006/relationships/hyperlink" Target="https://i.duk.tw/9TVffj.png" TargetMode="External"/><Relationship Id="rId94" Type="http://schemas.openxmlformats.org/officeDocument/2006/relationships/hyperlink" Target="https://cpcbcs.cpc.com.tw/cpcpay/eshop/?p1=g&amp;p2=107" TargetMode="External"/><Relationship Id="rId97" Type="http://schemas.openxmlformats.org/officeDocument/2006/relationships/drawing" Target="../drawings/drawing1.xml"/><Relationship Id="rId96" Type="http://schemas.openxmlformats.org/officeDocument/2006/relationships/hyperlink" Target="https://cpcbcs.cpc.com.tw/cpcpay/eshop/?p1=g&amp;p2=89" TargetMode="External"/><Relationship Id="rId11" Type="http://schemas.openxmlformats.org/officeDocument/2006/relationships/hyperlink" Target="https://i.duk.tw/QNeVXa.jpg" TargetMode="External"/><Relationship Id="rId10" Type="http://schemas.openxmlformats.org/officeDocument/2006/relationships/hyperlink" Target="https://cpcbcs.cpc.com.tw/cpcpay/eshop/?p1=g&amp;p2=9" TargetMode="External"/><Relationship Id="rId13" Type="http://schemas.openxmlformats.org/officeDocument/2006/relationships/hyperlink" Target="https://i.duk.tw/uZlWvb.jpg" TargetMode="External"/><Relationship Id="rId12" Type="http://schemas.openxmlformats.org/officeDocument/2006/relationships/hyperlink" Target="https://cpcbcs.cpc.com.tw/cpcpay/eshop/?p1=g&amp;p2=10" TargetMode="External"/><Relationship Id="rId91" Type="http://schemas.openxmlformats.org/officeDocument/2006/relationships/hyperlink" Target="https://i.duk.tw/ZSphT0.jpg" TargetMode="External"/><Relationship Id="rId90" Type="http://schemas.openxmlformats.org/officeDocument/2006/relationships/hyperlink" Target="https://cpcbcs.cpc.com.tw/cpcpay/eshop/?p1=g&amp;p2=108" TargetMode="External"/><Relationship Id="rId93" Type="http://schemas.openxmlformats.org/officeDocument/2006/relationships/hyperlink" Target="https://i.duk.tw/CA3vSB.jpg" TargetMode="External"/><Relationship Id="rId92" Type="http://schemas.openxmlformats.org/officeDocument/2006/relationships/hyperlink" Target="https://cpcbcs.cpc.com.tw/cpcpay/eshop/?p1=g&amp;p2=106" TargetMode="External"/><Relationship Id="rId15" Type="http://schemas.openxmlformats.org/officeDocument/2006/relationships/hyperlink" Target="https://i.duk.tw/FvJGZ8.jpg" TargetMode="External"/><Relationship Id="rId14" Type="http://schemas.openxmlformats.org/officeDocument/2006/relationships/hyperlink" Target="https://cpcbcs.cpc.com.tw/cpcpay/eshop/?p1=g&amp;p2=11" TargetMode="External"/><Relationship Id="rId17" Type="http://schemas.openxmlformats.org/officeDocument/2006/relationships/hyperlink" Target="https://i.duk.tw/NTBMf1.jpg" TargetMode="External"/><Relationship Id="rId16" Type="http://schemas.openxmlformats.org/officeDocument/2006/relationships/hyperlink" Target="https://cpcbcs.cpc.com.tw/cpcpay/eshop/?p1=g&amp;p2=31" TargetMode="External"/><Relationship Id="rId19" Type="http://schemas.openxmlformats.org/officeDocument/2006/relationships/hyperlink" Target="https://i.duk.tw/KSXRBA.jpg" TargetMode="External"/><Relationship Id="rId18" Type="http://schemas.openxmlformats.org/officeDocument/2006/relationships/hyperlink" Target="https://cpcbcs.cpc.com.tw/cpcpay/eshop/?p1=g&amp;p2=12" TargetMode="External"/><Relationship Id="rId84" Type="http://schemas.openxmlformats.org/officeDocument/2006/relationships/hyperlink" Target="https://cpcbcs.cpc.com.tw/cpcpay/eshop/?p1=g&amp;p2=90" TargetMode="External"/><Relationship Id="rId83" Type="http://schemas.openxmlformats.org/officeDocument/2006/relationships/hyperlink" Target="https://drive.google.com/thumbnail?id=1lR4kqfv6EpQHq0i13xtLVIxGGpdarpWG&amp;sz=w1200" TargetMode="External"/><Relationship Id="rId86" Type="http://schemas.openxmlformats.org/officeDocument/2006/relationships/hyperlink" Target="https://cpcbcs.cpc.com.tw/cpcpay/eshop/?p1=g&amp;p2=104" TargetMode="External"/><Relationship Id="rId85" Type="http://schemas.openxmlformats.org/officeDocument/2006/relationships/hyperlink" Target="https://drive.google.com/thumbnail?id=1eKCQC8mMZ78H182M41MEkn2XsJEdwm30&amp;sz=w1200" TargetMode="External"/><Relationship Id="rId88" Type="http://schemas.openxmlformats.org/officeDocument/2006/relationships/hyperlink" Target="https://cpcbcs.cpc.com.tw/cpcpay/eshop/?p1=g&amp;p2=105" TargetMode="External"/><Relationship Id="rId87" Type="http://schemas.openxmlformats.org/officeDocument/2006/relationships/hyperlink" Target="https://drive.google.com/thumbnail?id=1Y5_9VdNZ2y785ypBvDfHz7Gsxg93-IcM&amp;sz=w1200" TargetMode="External"/><Relationship Id="rId89" Type="http://schemas.openxmlformats.org/officeDocument/2006/relationships/hyperlink" Target="https://drive.google.com/thumbnail?id=136JESPlImdrUXkE11pZ_8gh9gwJzJse2&amp;sz=w1200" TargetMode="External"/><Relationship Id="rId80" Type="http://schemas.openxmlformats.org/officeDocument/2006/relationships/hyperlink" Target="https://cpcbcs.cpc.com.tw/cpcpay/eshop/?p1=g&amp;p2=89" TargetMode="External"/><Relationship Id="rId82" Type="http://schemas.openxmlformats.org/officeDocument/2006/relationships/hyperlink" Target="https://cpcbcs.cpc.com.tw/cpcpay/eshop/?p1=g&amp;p2=110" TargetMode="External"/><Relationship Id="rId81" Type="http://schemas.openxmlformats.org/officeDocument/2006/relationships/hyperlink" Target="https://drive.google.com/thumbnail?id=1k4Dcf9-vJhU-cyb-NCaWVgumX8ZkZde1&amp;sz=w1200" TargetMode="External"/><Relationship Id="rId1" Type="http://schemas.openxmlformats.org/officeDocument/2006/relationships/hyperlink" Target="https://i.duk.tw/ro53ux.jpg" TargetMode="External"/><Relationship Id="rId2" Type="http://schemas.openxmlformats.org/officeDocument/2006/relationships/hyperlink" Target="https://cpcbcs.cpc.com.tw/cpcpay/eshop/?p1=g&amp;p2=41" TargetMode="External"/><Relationship Id="rId3" Type="http://schemas.openxmlformats.org/officeDocument/2006/relationships/hyperlink" Target="https://i.duk.tw/ranqRp.png" TargetMode="External"/><Relationship Id="rId4" Type="http://schemas.openxmlformats.org/officeDocument/2006/relationships/hyperlink" Target="https://cpcbcs.cpc.com.tw/cpcpay/eshop/?p1=g&amp;p2=8" TargetMode="External"/><Relationship Id="rId9" Type="http://schemas.openxmlformats.org/officeDocument/2006/relationships/hyperlink" Target="https://i.duk.tw/6eFTNn.jpg" TargetMode="External"/><Relationship Id="rId5" Type="http://schemas.openxmlformats.org/officeDocument/2006/relationships/hyperlink" Target="https://i.duk.tw/wNIArs.jpg" TargetMode="External"/><Relationship Id="rId6" Type="http://schemas.openxmlformats.org/officeDocument/2006/relationships/hyperlink" Target="https://cpcbcs.cpc.com.tw/cpcpay/eshop/?p1=g&amp;p2=29" TargetMode="External"/><Relationship Id="rId7" Type="http://schemas.openxmlformats.org/officeDocument/2006/relationships/hyperlink" Target="https://img.91app.com/webapi/imagesV3/Original/SalePage/10974337/5/638898979845630000?v=1" TargetMode="External"/><Relationship Id="rId8" Type="http://schemas.openxmlformats.org/officeDocument/2006/relationships/hyperlink" Target="https://cpcbcs.cpc.com.tw/cpcpay/eshop/?p1=g&amp;p2=30" TargetMode="External"/><Relationship Id="rId73" Type="http://schemas.openxmlformats.org/officeDocument/2006/relationships/hyperlink" Target="https://drive.google.com/thumbnail?id=1B2ZVNHs1P34ujzp21Xm9NMNGRt5NmqVm&amp;sz=w1200" TargetMode="External"/><Relationship Id="rId72" Type="http://schemas.openxmlformats.org/officeDocument/2006/relationships/hyperlink" Target="https://cpcbcs.cpc.com.tw/cpcpay/eshop/?p1=g&amp;p2=85" TargetMode="External"/><Relationship Id="rId75" Type="http://schemas.openxmlformats.org/officeDocument/2006/relationships/hyperlink" Target="https://drive.google.com/thumbnail?id=1rpAZQGOE2X_BynoKNt-HzICOqj_Q688E&amp;sz=w1200" TargetMode="External"/><Relationship Id="rId74" Type="http://schemas.openxmlformats.org/officeDocument/2006/relationships/hyperlink" Target="https://cpcbcs.cpc.com.tw/cpcpay/eshop/?p1=g&amp;p2=103" TargetMode="External"/><Relationship Id="rId77" Type="http://schemas.openxmlformats.org/officeDocument/2006/relationships/hyperlink" Target="https://drive.google.com/thumbnail?id=1fb7R7tuBViwjp9Bs5nZcDh_GHq1SLHIV&amp;sz=w1200" TargetMode="External"/><Relationship Id="rId76" Type="http://schemas.openxmlformats.org/officeDocument/2006/relationships/hyperlink" Target="https://cpcbcs.cpc.com.tw/cpcpay/eshop/?p1=g&amp;p2=106" TargetMode="External"/><Relationship Id="rId79" Type="http://schemas.openxmlformats.org/officeDocument/2006/relationships/hyperlink" Target="https://drive.google.com/thumbnail?id=1j0YAkr1IowGxWzfeVyHZ8n_JPj154C2w&amp;sz=w1200" TargetMode="External"/><Relationship Id="rId78" Type="http://schemas.openxmlformats.org/officeDocument/2006/relationships/hyperlink" Target="https://cpcbcs.cpc.com.tw/cpcpay/eshop/?p1=g&amp;p2=107" TargetMode="External"/><Relationship Id="rId71" Type="http://schemas.openxmlformats.org/officeDocument/2006/relationships/hyperlink" Target="https://drive.google.com/thumbnail?id=1rAxgwBNC5lvwmp5x8dvv7ewyckichLe_&amp;sz=w1200" TargetMode="External"/><Relationship Id="rId70" Type="http://schemas.openxmlformats.org/officeDocument/2006/relationships/hyperlink" Target="https://cpcbcs.cpc.com.tw/cpcpay/eshop/?p1=g&amp;p2=88" TargetMode="External"/><Relationship Id="rId62" Type="http://schemas.openxmlformats.org/officeDocument/2006/relationships/hyperlink" Target="https://cpcbcs.cpc.com.tw/cpcpay/eshop/?p1=g&amp;p2=43" TargetMode="External"/><Relationship Id="rId61" Type="http://schemas.openxmlformats.org/officeDocument/2006/relationships/hyperlink" Target="https://i.duk.tw/xsk3Y8.png" TargetMode="External"/><Relationship Id="rId64" Type="http://schemas.openxmlformats.org/officeDocument/2006/relationships/hyperlink" Target="https://cpcbcs.cpc.com.tw/cpcpay/eshop/?p1=g&amp;p2=87" TargetMode="External"/><Relationship Id="rId63" Type="http://schemas.openxmlformats.org/officeDocument/2006/relationships/hyperlink" Target="https://drive.google.com/thumbnail?id=1pDFuL4P9Fs-gEch_MQK1HvGXxdxqjC6f&amp;sz=w1200" TargetMode="External"/><Relationship Id="rId66" Type="http://schemas.openxmlformats.org/officeDocument/2006/relationships/hyperlink" Target="https://cpcbcs.cpc.com.tw/cpcpay/eshop/?p1=g&amp;p2=109" TargetMode="External"/><Relationship Id="rId65" Type="http://schemas.openxmlformats.org/officeDocument/2006/relationships/hyperlink" Target="https://drive.google.com/thumbnail?id=1zW7xEw0SEDEByO1r9VcjstMd0ksYfP-X&amp;sz=w1200" TargetMode="External"/><Relationship Id="rId68" Type="http://schemas.openxmlformats.org/officeDocument/2006/relationships/hyperlink" Target="https://cpcbcs.cpc.com.tw/cpcpay/eshop/?p1=g&amp;p2=122" TargetMode="External"/><Relationship Id="rId67" Type="http://schemas.openxmlformats.org/officeDocument/2006/relationships/hyperlink" Target="https://drive.google.com/thumbnail?id=1sJG9xHDMT_Aap23kddx_kIgCUDXd5_2U&amp;sz=w1200" TargetMode="External"/><Relationship Id="rId60" Type="http://schemas.openxmlformats.org/officeDocument/2006/relationships/hyperlink" Target="https://cpcbcs.cpc.com.tw/cpcpay/eshop/?p1=g&amp;p2=63" TargetMode="External"/><Relationship Id="rId69" Type="http://schemas.openxmlformats.org/officeDocument/2006/relationships/hyperlink" Target="https://drive.google.com/thumbnail?id=1BmnHRE6ZNN4EpEY5cdfuV0O9VYWZF2th&amp;sz=w1200" TargetMode="External"/><Relationship Id="rId51" Type="http://schemas.openxmlformats.org/officeDocument/2006/relationships/hyperlink" Target="https://i.duk.tw/9TVffj.png" TargetMode="External"/><Relationship Id="rId50" Type="http://schemas.openxmlformats.org/officeDocument/2006/relationships/hyperlink" Target="https://cpcbcs.cpc.com.tw/cpcpay/eshop/?p1=g&amp;p2=101" TargetMode="External"/><Relationship Id="rId53" Type="http://schemas.openxmlformats.org/officeDocument/2006/relationships/hyperlink" Target="https://i.duk.tw/5iJ7QK.jpg" TargetMode="External"/><Relationship Id="rId52" Type="http://schemas.openxmlformats.org/officeDocument/2006/relationships/hyperlink" Target="https://cpcbcs.cpc.com.tw/cpcpay/eshop/?p1=g&amp;p2=52" TargetMode="External"/><Relationship Id="rId55" Type="http://schemas.openxmlformats.org/officeDocument/2006/relationships/hyperlink" Target="https://i.duk.tw/zS01D4.png" TargetMode="External"/><Relationship Id="rId54" Type="http://schemas.openxmlformats.org/officeDocument/2006/relationships/hyperlink" Target="https://cpcbcs.cpc.com.tw/cpcpay/eshop/?p1=g&amp;p2=61" TargetMode="External"/><Relationship Id="rId57" Type="http://schemas.openxmlformats.org/officeDocument/2006/relationships/hyperlink" Target="https://i.duk.tw/1l5H7z.png" TargetMode="External"/><Relationship Id="rId56" Type="http://schemas.openxmlformats.org/officeDocument/2006/relationships/hyperlink" Target="https://cpcbcs.cpc.com.tw/cpcpay/eshop/?p1=g&amp;p2=62" TargetMode="External"/><Relationship Id="rId59" Type="http://schemas.openxmlformats.org/officeDocument/2006/relationships/hyperlink" Target="https://i.duk.tw/2IoPEY.png" TargetMode="External"/><Relationship Id="rId58" Type="http://schemas.openxmlformats.org/officeDocument/2006/relationships/hyperlink" Target="https://cpcbcs.cpc.com.tw/cpcpay/eshop/?p1=g&amp;p2=4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2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3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4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5" Type="http://schemas.openxmlformats.org/officeDocument/2006/relationships/hyperlink" Target="https://profile.line-scdn.net/0hWc0NtGO9CEwdNxcMGrp2cm1nCyY-RlFeOAQTfysxA3pzUEkeZgRBIiA0UX4hAUYZZVgXfSgyV3g_BQhhLVAAQys0CR9DQi5sURVHT0ZIHR51bCdjRQI4SitTBXlbQkxGWSQGRFhFDiV2XAccawM4d1xrFilTWk55UWBkGhgFZs9yNX8ZMFBOLCA-VX6l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8.13"/>
    <col customWidth="1" min="3" max="3" width="9.38"/>
    <col customWidth="1" min="4" max="4" width="5.5"/>
    <col customWidth="1" min="5" max="5" width="69.75"/>
    <col customWidth="1" min="6" max="6" width="89.75"/>
    <col customWidth="1" min="7" max="7" width="50.88"/>
    <col customWidth="1" min="8" max="8" width="17.88"/>
    <col customWidth="1" min="9" max="9" width="13.0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">
        <v>12</v>
      </c>
      <c r="B2" s="8" t="s">
        <v>13</v>
      </c>
      <c r="C2" s="9">
        <v>1000.0</v>
      </c>
      <c r="D2" s="9">
        <v>850.0</v>
      </c>
      <c r="E2" s="10" t="s">
        <v>14</v>
      </c>
      <c r="F2" s="11" t="s">
        <v>15</v>
      </c>
      <c r="G2" s="11" t="s">
        <v>16</v>
      </c>
      <c r="H2" s="12"/>
      <c r="I2" s="13">
        <v>46028.0</v>
      </c>
      <c r="J2" s="13">
        <v>46032.0</v>
      </c>
      <c r="K2" s="13">
        <v>46033.0</v>
      </c>
      <c r="L2" s="13">
        <v>46039.0</v>
      </c>
    </row>
    <row r="3">
      <c r="A3" s="7" t="s">
        <v>17</v>
      </c>
      <c r="B3" s="8" t="s">
        <v>18</v>
      </c>
      <c r="C3" s="9">
        <v>399.0</v>
      </c>
      <c r="D3" s="9">
        <v>214.0</v>
      </c>
      <c r="E3" s="10" t="s">
        <v>19</v>
      </c>
      <c r="F3" s="14" t="s">
        <v>20</v>
      </c>
      <c r="G3" s="11" t="s">
        <v>21</v>
      </c>
      <c r="H3" s="12"/>
      <c r="I3" s="13">
        <v>46024.0</v>
      </c>
      <c r="J3" s="13">
        <v>46030.0</v>
      </c>
      <c r="K3" s="13">
        <v>46031.0</v>
      </c>
      <c r="L3" s="13">
        <v>46039.0</v>
      </c>
    </row>
    <row r="4">
      <c r="A4" s="7" t="s">
        <v>17</v>
      </c>
      <c r="B4" s="8" t="s">
        <v>22</v>
      </c>
      <c r="C4" s="9">
        <v>299.0</v>
      </c>
      <c r="D4" s="9">
        <v>188.0</v>
      </c>
      <c r="E4" s="10" t="s">
        <v>23</v>
      </c>
      <c r="F4" s="14" t="s">
        <v>24</v>
      </c>
      <c r="G4" s="11" t="s">
        <v>25</v>
      </c>
      <c r="H4" s="12"/>
      <c r="I4" s="13">
        <v>46024.0</v>
      </c>
      <c r="J4" s="13">
        <v>46030.0</v>
      </c>
      <c r="K4" s="13">
        <v>46031.0</v>
      </c>
      <c r="L4" s="13">
        <v>46039.0</v>
      </c>
    </row>
    <row r="5">
      <c r="A5" s="7" t="s">
        <v>17</v>
      </c>
      <c r="B5" s="8" t="s">
        <v>26</v>
      </c>
      <c r="C5" s="9">
        <v>3290.0</v>
      </c>
      <c r="D5" s="9">
        <v>2850.0</v>
      </c>
      <c r="E5" s="10" t="s">
        <v>27</v>
      </c>
      <c r="F5" s="14" t="s">
        <v>28</v>
      </c>
      <c r="G5" s="11" t="s">
        <v>29</v>
      </c>
      <c r="H5" s="12"/>
      <c r="I5" s="13">
        <v>46024.0</v>
      </c>
      <c r="J5" s="13">
        <v>46030.0</v>
      </c>
      <c r="K5" s="13">
        <v>46031.0</v>
      </c>
      <c r="L5" s="13">
        <v>46039.0</v>
      </c>
    </row>
    <row r="6">
      <c r="A6" s="7" t="s">
        <v>17</v>
      </c>
      <c r="B6" s="8" t="s">
        <v>30</v>
      </c>
      <c r="C6" s="9">
        <v>325.0</v>
      </c>
      <c r="D6" s="9">
        <v>272.0</v>
      </c>
      <c r="E6" s="10" t="s">
        <v>31</v>
      </c>
      <c r="F6" s="14" t="s">
        <v>32</v>
      </c>
      <c r="G6" s="11" t="s">
        <v>33</v>
      </c>
      <c r="H6" s="12"/>
      <c r="I6" s="13">
        <v>46024.0</v>
      </c>
      <c r="J6" s="13">
        <v>46030.0</v>
      </c>
      <c r="K6" s="13">
        <v>46031.0</v>
      </c>
      <c r="L6" s="13">
        <v>46039.0</v>
      </c>
    </row>
    <row r="7">
      <c r="A7" s="7" t="s">
        <v>17</v>
      </c>
      <c r="B7" s="8" t="s">
        <v>34</v>
      </c>
      <c r="C7" s="9">
        <v>990.0</v>
      </c>
      <c r="D7" s="9">
        <v>390.0</v>
      </c>
      <c r="E7" s="10" t="s">
        <v>35</v>
      </c>
      <c r="F7" s="14" t="s">
        <v>36</v>
      </c>
      <c r="G7" s="11" t="s">
        <v>37</v>
      </c>
      <c r="H7" s="12"/>
      <c r="I7" s="13">
        <v>46024.0</v>
      </c>
      <c r="J7" s="13">
        <v>46030.0</v>
      </c>
      <c r="K7" s="13">
        <v>46031.0</v>
      </c>
      <c r="L7" s="13">
        <v>46039.0</v>
      </c>
    </row>
    <row r="8">
      <c r="A8" s="7" t="s">
        <v>17</v>
      </c>
      <c r="B8" s="8" t="s">
        <v>38</v>
      </c>
      <c r="C8" s="9">
        <v>159.0</v>
      </c>
      <c r="D8" s="9">
        <v>99.0</v>
      </c>
      <c r="E8" s="10" t="s">
        <v>39</v>
      </c>
      <c r="F8" s="14" t="s">
        <v>40</v>
      </c>
      <c r="G8" s="11" t="s">
        <v>41</v>
      </c>
      <c r="H8" s="12"/>
      <c r="I8" s="13">
        <v>46024.0</v>
      </c>
      <c r="J8" s="13">
        <v>46030.0</v>
      </c>
      <c r="K8" s="13">
        <v>46031.0</v>
      </c>
      <c r="L8" s="13">
        <v>46039.0</v>
      </c>
    </row>
    <row r="9">
      <c r="A9" s="7" t="s">
        <v>17</v>
      </c>
      <c r="B9" s="15" t="s">
        <v>42</v>
      </c>
      <c r="C9" s="9">
        <v>32.0</v>
      </c>
      <c r="D9" s="9">
        <v>30.0</v>
      </c>
      <c r="E9" s="10" t="s">
        <v>43</v>
      </c>
      <c r="F9" s="14" t="s">
        <v>44</v>
      </c>
      <c r="G9" s="11" t="s">
        <v>45</v>
      </c>
      <c r="H9" s="12"/>
      <c r="I9" s="13">
        <v>46024.0</v>
      </c>
      <c r="J9" s="13">
        <v>46030.0</v>
      </c>
      <c r="K9" s="13">
        <v>46031.0</v>
      </c>
      <c r="L9" s="13">
        <v>46039.0</v>
      </c>
    </row>
    <row r="10">
      <c r="A10" s="7" t="s">
        <v>17</v>
      </c>
      <c r="B10" s="8" t="s">
        <v>46</v>
      </c>
      <c r="C10" s="9">
        <v>78.0</v>
      </c>
      <c r="D10" s="9">
        <v>70.0</v>
      </c>
      <c r="E10" s="10" t="s">
        <v>47</v>
      </c>
      <c r="F10" s="14" t="s">
        <v>48</v>
      </c>
      <c r="G10" s="11" t="s">
        <v>49</v>
      </c>
      <c r="H10" s="12"/>
      <c r="I10" s="13">
        <v>46024.0</v>
      </c>
      <c r="J10" s="13">
        <v>46030.0</v>
      </c>
      <c r="K10" s="13">
        <v>46031.0</v>
      </c>
      <c r="L10" s="13">
        <v>46039.0</v>
      </c>
    </row>
    <row r="11">
      <c r="A11" s="7" t="s">
        <v>17</v>
      </c>
      <c r="B11" s="8" t="s">
        <v>50</v>
      </c>
      <c r="C11" s="9">
        <v>30.0</v>
      </c>
      <c r="D11" s="9">
        <v>29.0</v>
      </c>
      <c r="E11" s="10" t="s">
        <v>51</v>
      </c>
      <c r="F11" s="14" t="s">
        <v>52</v>
      </c>
      <c r="G11" s="11" t="s">
        <v>53</v>
      </c>
      <c r="H11" s="12"/>
      <c r="I11" s="13">
        <v>46024.0</v>
      </c>
      <c r="J11" s="13">
        <v>46030.0</v>
      </c>
      <c r="K11" s="13">
        <v>46031.0</v>
      </c>
      <c r="L11" s="13">
        <v>46039.0</v>
      </c>
    </row>
    <row r="12">
      <c r="A12" s="7" t="s">
        <v>17</v>
      </c>
      <c r="B12" s="8" t="s">
        <v>54</v>
      </c>
      <c r="C12" s="9">
        <v>450.0</v>
      </c>
      <c r="D12" s="9">
        <v>345.0</v>
      </c>
      <c r="E12" s="10" t="s">
        <v>55</v>
      </c>
      <c r="F12" s="14" t="s">
        <v>56</v>
      </c>
      <c r="G12" s="11" t="s">
        <v>57</v>
      </c>
      <c r="H12" s="12"/>
      <c r="I12" s="13">
        <v>46024.0</v>
      </c>
      <c r="J12" s="13">
        <v>46030.0</v>
      </c>
      <c r="K12" s="13">
        <v>46031.0</v>
      </c>
      <c r="L12" s="13">
        <v>46039.0</v>
      </c>
    </row>
    <row r="13">
      <c r="A13" s="7" t="s">
        <v>17</v>
      </c>
      <c r="B13" s="8" t="s">
        <v>58</v>
      </c>
      <c r="C13" s="9">
        <v>208.0</v>
      </c>
      <c r="D13" s="9">
        <v>180.0</v>
      </c>
      <c r="E13" s="10" t="s">
        <v>59</v>
      </c>
      <c r="F13" s="14" t="s">
        <v>60</v>
      </c>
      <c r="G13" s="11" t="s">
        <v>61</v>
      </c>
      <c r="H13" s="12"/>
      <c r="I13" s="13">
        <v>46024.0</v>
      </c>
      <c r="J13" s="13">
        <v>46030.0</v>
      </c>
      <c r="K13" s="13">
        <v>46031.0</v>
      </c>
      <c r="L13" s="13">
        <v>46039.0</v>
      </c>
    </row>
    <row r="14">
      <c r="A14" s="7" t="s">
        <v>17</v>
      </c>
      <c r="B14" s="8" t="s">
        <v>62</v>
      </c>
      <c r="C14" s="9">
        <v>230.0</v>
      </c>
      <c r="D14" s="9">
        <v>200.0</v>
      </c>
      <c r="E14" s="10" t="s">
        <v>63</v>
      </c>
      <c r="F14" s="14" t="s">
        <v>64</v>
      </c>
      <c r="G14" s="11" t="s">
        <v>65</v>
      </c>
      <c r="H14" s="12"/>
      <c r="I14" s="13">
        <v>46024.0</v>
      </c>
      <c r="J14" s="13">
        <v>46030.0</v>
      </c>
      <c r="K14" s="13">
        <v>46031.0</v>
      </c>
      <c r="L14" s="13">
        <v>46039.0</v>
      </c>
    </row>
    <row r="15">
      <c r="A15" s="7" t="s">
        <v>17</v>
      </c>
      <c r="B15" s="8" t="s">
        <v>66</v>
      </c>
      <c r="C15" s="9">
        <v>75.0</v>
      </c>
      <c r="D15" s="9">
        <v>65.0</v>
      </c>
      <c r="E15" s="10" t="s">
        <v>67</v>
      </c>
      <c r="F15" s="14" t="s">
        <v>68</v>
      </c>
      <c r="G15" s="11" t="s">
        <v>69</v>
      </c>
      <c r="H15" s="12"/>
      <c r="I15" s="13">
        <v>46024.0</v>
      </c>
      <c r="J15" s="13">
        <v>46030.0</v>
      </c>
      <c r="K15" s="13">
        <v>46031.0</v>
      </c>
      <c r="L15" s="13">
        <v>46039.0</v>
      </c>
    </row>
    <row r="16">
      <c r="A16" s="7" t="s">
        <v>12</v>
      </c>
      <c r="B16" s="16" t="s">
        <v>70</v>
      </c>
      <c r="C16" s="17">
        <v>250.0</v>
      </c>
      <c r="D16" s="17">
        <v>170.0</v>
      </c>
      <c r="E16" s="18" t="s">
        <v>71</v>
      </c>
      <c r="F16" s="14" t="s">
        <v>72</v>
      </c>
      <c r="G16" s="14" t="s">
        <v>73</v>
      </c>
      <c r="H16" s="19">
        <v>5.0</v>
      </c>
      <c r="I16" s="13">
        <v>46031.0</v>
      </c>
      <c r="J16" s="13">
        <v>46037.0</v>
      </c>
      <c r="K16" s="13">
        <v>46038.0</v>
      </c>
      <c r="L16" s="13">
        <v>46046.0</v>
      </c>
    </row>
    <row r="17">
      <c r="A17" s="7" t="s">
        <v>12</v>
      </c>
      <c r="B17" s="20" t="s">
        <v>74</v>
      </c>
      <c r="C17" s="17">
        <v>375.0</v>
      </c>
      <c r="D17" s="17">
        <v>200.0</v>
      </c>
      <c r="E17" s="21" t="s">
        <v>75</v>
      </c>
      <c r="F17" s="14" t="s">
        <v>76</v>
      </c>
      <c r="G17" s="14" t="s">
        <v>77</v>
      </c>
      <c r="H17" s="19">
        <v>5.0</v>
      </c>
      <c r="I17" s="13">
        <v>46031.0</v>
      </c>
      <c r="J17" s="13">
        <v>46037.0</v>
      </c>
      <c r="K17" s="13">
        <v>46038.0</v>
      </c>
      <c r="L17" s="13">
        <v>46046.0</v>
      </c>
    </row>
    <row r="18">
      <c r="A18" s="7" t="s">
        <v>12</v>
      </c>
      <c r="B18" s="16" t="s">
        <v>78</v>
      </c>
      <c r="C18" s="17">
        <v>375.0</v>
      </c>
      <c r="D18" s="17">
        <v>200.0</v>
      </c>
      <c r="E18" s="21" t="s">
        <v>79</v>
      </c>
      <c r="F18" s="14" t="s">
        <v>80</v>
      </c>
      <c r="G18" s="14" t="s">
        <v>81</v>
      </c>
      <c r="H18" s="19">
        <v>5.0</v>
      </c>
      <c r="I18" s="13">
        <v>46031.0</v>
      </c>
      <c r="J18" s="13">
        <v>46037.0</v>
      </c>
      <c r="K18" s="13">
        <v>46038.0</v>
      </c>
      <c r="L18" s="13">
        <v>46046.0</v>
      </c>
    </row>
    <row r="19">
      <c r="A19" s="7" t="s">
        <v>12</v>
      </c>
      <c r="B19" s="16" t="s">
        <v>82</v>
      </c>
      <c r="C19" s="17">
        <v>49.0</v>
      </c>
      <c r="D19" s="17">
        <v>34.0</v>
      </c>
      <c r="E19" s="21" t="s">
        <v>83</v>
      </c>
      <c r="F19" s="14" t="s">
        <v>84</v>
      </c>
      <c r="G19" s="14" t="s">
        <v>85</v>
      </c>
      <c r="H19" s="19">
        <v>5.0</v>
      </c>
      <c r="I19" s="13">
        <v>46031.0</v>
      </c>
      <c r="J19" s="13">
        <v>46037.0</v>
      </c>
      <c r="K19" s="13">
        <v>46038.0</v>
      </c>
      <c r="L19" s="13">
        <v>46046.0</v>
      </c>
    </row>
    <row r="20">
      <c r="A20" s="7" t="s">
        <v>12</v>
      </c>
      <c r="B20" s="16" t="s">
        <v>86</v>
      </c>
      <c r="C20" s="17">
        <v>700.0</v>
      </c>
      <c r="D20" s="17">
        <v>250.0</v>
      </c>
      <c r="E20" s="21" t="s">
        <v>87</v>
      </c>
      <c r="F20" s="14" t="s">
        <v>88</v>
      </c>
      <c r="G20" s="14" t="s">
        <v>89</v>
      </c>
      <c r="H20" s="19">
        <v>5.0</v>
      </c>
      <c r="I20" s="13">
        <v>46031.0</v>
      </c>
      <c r="J20" s="13">
        <v>46037.0</v>
      </c>
      <c r="K20" s="13">
        <v>46038.0</v>
      </c>
      <c r="L20" s="13">
        <v>46046.0</v>
      </c>
    </row>
    <row r="21">
      <c r="A21" s="7" t="s">
        <v>12</v>
      </c>
      <c r="B21" s="16" t="s">
        <v>90</v>
      </c>
      <c r="C21" s="17">
        <v>252.0</v>
      </c>
      <c r="D21" s="17">
        <v>220.0</v>
      </c>
      <c r="E21" s="21" t="s">
        <v>91</v>
      </c>
      <c r="F21" s="14" t="s">
        <v>92</v>
      </c>
      <c r="G21" s="14" t="s">
        <v>93</v>
      </c>
      <c r="H21" s="19">
        <v>5.0</v>
      </c>
      <c r="I21" s="13">
        <v>46031.0</v>
      </c>
      <c r="J21" s="13">
        <v>46037.0</v>
      </c>
      <c r="K21" s="13">
        <v>46038.0</v>
      </c>
      <c r="L21" s="13">
        <v>46046.0</v>
      </c>
    </row>
    <row r="22">
      <c r="A22" s="7" t="s">
        <v>12</v>
      </c>
      <c r="B22" s="16" t="s">
        <v>94</v>
      </c>
      <c r="C22" s="17">
        <v>198.0</v>
      </c>
      <c r="D22" s="17">
        <v>148.0</v>
      </c>
      <c r="E22" s="21" t="s">
        <v>95</v>
      </c>
      <c r="F22" s="14" t="s">
        <v>96</v>
      </c>
      <c r="G22" s="14" t="s">
        <v>97</v>
      </c>
      <c r="H22" s="19">
        <v>5.0</v>
      </c>
      <c r="I22" s="13">
        <v>46031.0</v>
      </c>
      <c r="J22" s="13">
        <v>46037.0</v>
      </c>
      <c r="K22" s="13">
        <v>46038.0</v>
      </c>
      <c r="L22" s="13">
        <v>46046.0</v>
      </c>
    </row>
    <row r="23">
      <c r="A23" s="7" t="s">
        <v>12</v>
      </c>
      <c r="B23" s="16" t="s">
        <v>98</v>
      </c>
      <c r="C23" s="17">
        <v>198.0</v>
      </c>
      <c r="D23" s="17">
        <v>148.0</v>
      </c>
      <c r="E23" s="21" t="s">
        <v>95</v>
      </c>
      <c r="F23" s="14" t="s">
        <v>99</v>
      </c>
      <c r="G23" s="14" t="s">
        <v>100</v>
      </c>
      <c r="H23" s="19">
        <v>5.0</v>
      </c>
      <c r="I23" s="13">
        <v>46031.0</v>
      </c>
      <c r="J23" s="13">
        <v>46037.0</v>
      </c>
      <c r="K23" s="13">
        <v>46038.0</v>
      </c>
      <c r="L23" s="13">
        <v>46046.0</v>
      </c>
    </row>
    <row r="24">
      <c r="A24" s="7" t="s">
        <v>12</v>
      </c>
      <c r="B24" s="16" t="s">
        <v>101</v>
      </c>
      <c r="C24" s="17">
        <v>206.0</v>
      </c>
      <c r="D24" s="17">
        <v>160.0</v>
      </c>
      <c r="E24" s="21" t="s">
        <v>95</v>
      </c>
      <c r="F24" s="14" t="s">
        <v>102</v>
      </c>
      <c r="G24" s="14" t="s">
        <v>103</v>
      </c>
      <c r="H24" s="19">
        <v>5.0</v>
      </c>
      <c r="I24" s="13">
        <v>46031.0</v>
      </c>
      <c r="J24" s="13">
        <v>46037.0</v>
      </c>
      <c r="K24" s="13">
        <v>46038.0</v>
      </c>
      <c r="L24" s="13">
        <v>46046.0</v>
      </c>
    </row>
    <row r="25">
      <c r="A25" s="7" t="s">
        <v>12</v>
      </c>
      <c r="B25" s="16" t="s">
        <v>104</v>
      </c>
      <c r="C25" s="17">
        <v>132.0</v>
      </c>
      <c r="D25" s="17">
        <v>80.0</v>
      </c>
      <c r="E25" s="21" t="s">
        <v>105</v>
      </c>
      <c r="F25" s="14" t="s">
        <v>106</v>
      </c>
      <c r="G25" s="14" t="s">
        <v>107</v>
      </c>
      <c r="H25" s="19">
        <v>5.0</v>
      </c>
      <c r="I25" s="13">
        <v>46031.0</v>
      </c>
      <c r="J25" s="13">
        <v>46037.0</v>
      </c>
      <c r="K25" s="13">
        <v>46038.0</v>
      </c>
      <c r="L25" s="13">
        <v>46046.0</v>
      </c>
    </row>
    <row r="26">
      <c r="A26" s="7" t="s">
        <v>12</v>
      </c>
      <c r="B26" s="16" t="s">
        <v>108</v>
      </c>
      <c r="C26" s="17">
        <v>180.0</v>
      </c>
      <c r="D26" s="17">
        <v>135.0</v>
      </c>
      <c r="E26" s="21" t="s">
        <v>109</v>
      </c>
      <c r="F26" s="14" t="s">
        <v>110</v>
      </c>
      <c r="G26" s="14" t="s">
        <v>111</v>
      </c>
      <c r="H26" s="19">
        <v>5.0</v>
      </c>
      <c r="I26" s="13">
        <v>46031.0</v>
      </c>
      <c r="J26" s="13">
        <v>46037.0</v>
      </c>
      <c r="K26" s="13">
        <v>46038.0</v>
      </c>
      <c r="L26" s="13">
        <v>46046.0</v>
      </c>
    </row>
    <row r="27">
      <c r="A27" s="7" t="s">
        <v>12</v>
      </c>
      <c r="B27" s="16" t="s">
        <v>112</v>
      </c>
      <c r="C27" s="17">
        <v>270.0</v>
      </c>
      <c r="D27" s="17">
        <v>250.0</v>
      </c>
      <c r="E27" s="21" t="s">
        <v>113</v>
      </c>
      <c r="F27" s="14" t="s">
        <v>114</v>
      </c>
      <c r="G27" s="14" t="s">
        <v>115</v>
      </c>
      <c r="H27" s="19">
        <v>5.0</v>
      </c>
      <c r="I27" s="13">
        <v>46031.0</v>
      </c>
      <c r="J27" s="13">
        <v>46037.0</v>
      </c>
      <c r="K27" s="13">
        <v>46038.0</v>
      </c>
      <c r="L27" s="13">
        <v>46046.0</v>
      </c>
    </row>
    <row r="28">
      <c r="A28" s="7" t="s">
        <v>12</v>
      </c>
      <c r="B28" s="16" t="s">
        <v>116</v>
      </c>
      <c r="C28" s="17">
        <v>32.0</v>
      </c>
      <c r="D28" s="17">
        <v>30.0</v>
      </c>
      <c r="E28" s="21" t="s">
        <v>43</v>
      </c>
      <c r="F28" s="14" t="s">
        <v>117</v>
      </c>
      <c r="G28" s="14" t="s">
        <v>118</v>
      </c>
      <c r="H28" s="19">
        <v>5.0</v>
      </c>
      <c r="I28" s="13">
        <v>46031.0</v>
      </c>
      <c r="J28" s="13">
        <v>46037.0</v>
      </c>
      <c r="K28" s="13">
        <v>46038.0</v>
      </c>
      <c r="L28" s="13">
        <v>46046.0</v>
      </c>
    </row>
    <row r="29">
      <c r="A29" s="7" t="s">
        <v>12</v>
      </c>
      <c r="B29" s="16" t="s">
        <v>119</v>
      </c>
      <c r="C29" s="17">
        <v>183.0</v>
      </c>
      <c r="D29" s="17">
        <v>125.0</v>
      </c>
      <c r="E29" s="21" t="s">
        <v>120</v>
      </c>
      <c r="F29" s="14" t="s">
        <v>121</v>
      </c>
      <c r="G29" s="14" t="s">
        <v>122</v>
      </c>
      <c r="H29" s="19">
        <v>5.0</v>
      </c>
      <c r="I29" s="13">
        <v>46031.0</v>
      </c>
      <c r="J29" s="13">
        <v>46037.0</v>
      </c>
      <c r="K29" s="13">
        <v>46038.0</v>
      </c>
      <c r="L29" s="13">
        <v>46046.0</v>
      </c>
    </row>
    <row r="30">
      <c r="A30" s="7" t="s">
        <v>12</v>
      </c>
      <c r="B30" s="16" t="s">
        <v>123</v>
      </c>
      <c r="C30" s="17">
        <v>300.0</v>
      </c>
      <c r="D30" s="17">
        <v>127.0</v>
      </c>
      <c r="E30" s="21" t="s">
        <v>124</v>
      </c>
      <c r="F30" s="14" t="s">
        <v>125</v>
      </c>
      <c r="G30" s="14" t="s">
        <v>126</v>
      </c>
      <c r="H30" s="19">
        <v>5.0</v>
      </c>
      <c r="I30" s="13">
        <v>46031.0</v>
      </c>
      <c r="J30" s="13">
        <v>46037.0</v>
      </c>
      <c r="K30" s="13">
        <v>46038.0</v>
      </c>
      <c r="L30" s="13">
        <v>46046.0</v>
      </c>
    </row>
    <row r="31">
      <c r="A31" s="7" t="s">
        <v>12</v>
      </c>
      <c r="B31" s="16" t="s">
        <v>127</v>
      </c>
      <c r="C31" s="17">
        <v>185.0</v>
      </c>
      <c r="D31" s="17">
        <v>122.0</v>
      </c>
      <c r="E31" s="21" t="s">
        <v>128</v>
      </c>
      <c r="F31" s="14" t="s">
        <v>129</v>
      </c>
      <c r="G31" s="14" t="s">
        <v>130</v>
      </c>
      <c r="H31" s="19">
        <v>5.0</v>
      </c>
      <c r="I31" s="13">
        <v>46031.0</v>
      </c>
      <c r="J31" s="13">
        <v>46037.0</v>
      </c>
      <c r="K31" s="13">
        <v>46038.0</v>
      </c>
      <c r="L31" s="13">
        <v>46046.0</v>
      </c>
    </row>
    <row r="32">
      <c r="A32" s="7" t="s">
        <v>12</v>
      </c>
      <c r="B32" s="16" t="s">
        <v>131</v>
      </c>
      <c r="C32" s="17">
        <v>130.0</v>
      </c>
      <c r="D32" s="17">
        <v>89.0</v>
      </c>
      <c r="E32" s="21" t="s">
        <v>132</v>
      </c>
      <c r="F32" s="14" t="s">
        <v>133</v>
      </c>
      <c r="G32" s="14" t="s">
        <v>134</v>
      </c>
      <c r="H32" s="19">
        <v>5.0</v>
      </c>
      <c r="I32" s="13">
        <v>46031.0</v>
      </c>
      <c r="J32" s="13">
        <v>46037.0</v>
      </c>
      <c r="K32" s="13">
        <v>46038.0</v>
      </c>
      <c r="L32" s="13">
        <v>46046.0</v>
      </c>
    </row>
    <row r="33">
      <c r="A33" s="7" t="s">
        <v>135</v>
      </c>
      <c r="B33" s="8" t="s">
        <v>136</v>
      </c>
      <c r="C33" s="9">
        <v>700.0</v>
      </c>
      <c r="D33" s="9">
        <v>660.0</v>
      </c>
      <c r="E33" s="10" t="s">
        <v>137</v>
      </c>
      <c r="F33" s="11" t="s">
        <v>138</v>
      </c>
      <c r="G33" s="22" t="s">
        <v>139</v>
      </c>
      <c r="H33" s="9">
        <v>10.0</v>
      </c>
      <c r="I33" s="13">
        <v>46038.0</v>
      </c>
      <c r="J33" s="13">
        <v>46044.0</v>
      </c>
      <c r="K33" s="13">
        <v>46045.0</v>
      </c>
      <c r="L33" s="13">
        <v>46053.0</v>
      </c>
    </row>
    <row r="34">
      <c r="A34" s="7" t="s">
        <v>135</v>
      </c>
      <c r="B34" s="8" t="s">
        <v>140</v>
      </c>
      <c r="C34" s="9">
        <v>240.0</v>
      </c>
      <c r="D34" s="9">
        <v>130.0</v>
      </c>
      <c r="E34" s="10" t="s">
        <v>141</v>
      </c>
      <c r="F34" s="11" t="s">
        <v>142</v>
      </c>
      <c r="G34" s="22" t="s">
        <v>143</v>
      </c>
      <c r="H34" s="9">
        <v>10.0</v>
      </c>
      <c r="I34" s="13">
        <v>46038.0</v>
      </c>
      <c r="J34" s="13">
        <v>46044.0</v>
      </c>
      <c r="K34" s="13">
        <v>46045.0</v>
      </c>
      <c r="L34" s="13">
        <v>46053.0</v>
      </c>
    </row>
    <row r="35">
      <c r="A35" s="7" t="s">
        <v>135</v>
      </c>
      <c r="B35" s="8" t="s">
        <v>144</v>
      </c>
      <c r="C35" s="9">
        <v>130.0</v>
      </c>
      <c r="D35" s="9">
        <v>99.0</v>
      </c>
      <c r="E35" s="10" t="s">
        <v>145</v>
      </c>
      <c r="F35" s="23" t="s">
        <v>146</v>
      </c>
      <c r="G35" s="22" t="s">
        <v>147</v>
      </c>
      <c r="H35" s="9">
        <v>30.0</v>
      </c>
      <c r="I35" s="13">
        <v>46038.0</v>
      </c>
      <c r="J35" s="13">
        <v>46044.0</v>
      </c>
      <c r="K35" s="13">
        <v>46045.0</v>
      </c>
      <c r="L35" s="13">
        <v>46053.0</v>
      </c>
    </row>
    <row r="36">
      <c r="A36" s="7" t="s">
        <v>135</v>
      </c>
      <c r="B36" s="8" t="s">
        <v>148</v>
      </c>
      <c r="C36" s="9">
        <v>75.0</v>
      </c>
      <c r="D36" s="9">
        <v>65.0</v>
      </c>
      <c r="E36" s="10" t="s">
        <v>149</v>
      </c>
      <c r="F36" s="11" t="s">
        <v>150</v>
      </c>
      <c r="G36" s="22" t="s">
        <v>151</v>
      </c>
      <c r="H36" s="9">
        <v>12.0</v>
      </c>
      <c r="I36" s="13">
        <v>46038.0</v>
      </c>
      <c r="J36" s="13">
        <v>46044.0</v>
      </c>
      <c r="K36" s="13">
        <v>46045.0</v>
      </c>
      <c r="L36" s="13">
        <v>46053.0</v>
      </c>
    </row>
    <row r="37">
      <c r="A37" s="7" t="s">
        <v>135</v>
      </c>
      <c r="B37" s="8" t="s">
        <v>152</v>
      </c>
      <c r="C37" s="9">
        <v>33.0</v>
      </c>
      <c r="D37" s="9">
        <v>26.0</v>
      </c>
      <c r="E37" s="10" t="s">
        <v>153</v>
      </c>
      <c r="F37" s="11" t="s">
        <v>154</v>
      </c>
      <c r="G37" s="22" t="s">
        <v>155</v>
      </c>
      <c r="H37" s="9">
        <v>36.0</v>
      </c>
      <c r="I37" s="13">
        <v>46038.0</v>
      </c>
      <c r="J37" s="13">
        <v>46044.0</v>
      </c>
      <c r="K37" s="13">
        <v>46045.0</v>
      </c>
      <c r="L37" s="13">
        <v>46053.0</v>
      </c>
    </row>
    <row r="38">
      <c r="A38" s="7" t="s">
        <v>135</v>
      </c>
      <c r="B38" s="8" t="s">
        <v>156</v>
      </c>
      <c r="C38" s="9">
        <v>128.0</v>
      </c>
      <c r="D38" s="9">
        <v>116.0</v>
      </c>
      <c r="E38" s="10" t="s">
        <v>157</v>
      </c>
      <c r="F38" s="11" t="s">
        <v>158</v>
      </c>
      <c r="G38" s="22" t="s">
        <v>159</v>
      </c>
      <c r="H38" s="9">
        <v>9.0</v>
      </c>
      <c r="I38" s="13">
        <v>46038.0</v>
      </c>
      <c r="J38" s="13">
        <v>46044.0</v>
      </c>
      <c r="K38" s="13">
        <v>46045.0</v>
      </c>
      <c r="L38" s="13">
        <v>46053.0</v>
      </c>
    </row>
    <row r="39">
      <c r="A39" s="7" t="s">
        <v>135</v>
      </c>
      <c r="B39" s="8" t="s">
        <v>160</v>
      </c>
      <c r="C39" s="9">
        <v>237.0</v>
      </c>
      <c r="D39" s="9">
        <v>174.0</v>
      </c>
      <c r="E39" s="10" t="s">
        <v>161</v>
      </c>
      <c r="F39" s="11" t="s">
        <v>162</v>
      </c>
      <c r="G39" s="22" t="s">
        <v>163</v>
      </c>
      <c r="H39" s="9">
        <v>8.0</v>
      </c>
      <c r="I39" s="13">
        <v>46038.0</v>
      </c>
      <c r="J39" s="13">
        <v>46044.0</v>
      </c>
      <c r="K39" s="13">
        <v>46045.0</v>
      </c>
      <c r="L39" s="13">
        <v>46053.0</v>
      </c>
    </row>
    <row r="40">
      <c r="A40" s="7" t="s">
        <v>135</v>
      </c>
      <c r="B40" s="8" t="s">
        <v>164</v>
      </c>
      <c r="C40" s="9">
        <v>237.0</v>
      </c>
      <c r="D40" s="9">
        <v>174.0</v>
      </c>
      <c r="E40" s="10" t="s">
        <v>165</v>
      </c>
      <c r="F40" s="11" t="s">
        <v>166</v>
      </c>
      <c r="G40" s="22" t="s">
        <v>167</v>
      </c>
      <c r="H40" s="9">
        <v>8.0</v>
      </c>
      <c r="I40" s="13">
        <v>46038.0</v>
      </c>
      <c r="J40" s="13">
        <v>46044.0</v>
      </c>
      <c r="K40" s="13">
        <v>46045.0</v>
      </c>
      <c r="L40" s="13">
        <v>46053.0</v>
      </c>
    </row>
    <row r="41">
      <c r="A41" s="7" t="s">
        <v>135</v>
      </c>
      <c r="B41" s="8" t="s">
        <v>168</v>
      </c>
      <c r="C41" s="9">
        <v>198.0</v>
      </c>
      <c r="D41" s="9">
        <v>148.0</v>
      </c>
      <c r="E41" s="10" t="s">
        <v>169</v>
      </c>
      <c r="F41" s="11" t="s">
        <v>170</v>
      </c>
      <c r="G41" s="22" t="s">
        <v>171</v>
      </c>
      <c r="H41" s="9">
        <v>30.0</v>
      </c>
      <c r="I41" s="13">
        <v>46038.0</v>
      </c>
      <c r="J41" s="13">
        <v>46044.0</v>
      </c>
      <c r="K41" s="13">
        <v>46045.0</v>
      </c>
      <c r="L41" s="13">
        <v>46053.0</v>
      </c>
    </row>
    <row r="42">
      <c r="A42" s="7" t="s">
        <v>135</v>
      </c>
      <c r="B42" s="8" t="s">
        <v>172</v>
      </c>
      <c r="C42" s="9">
        <v>206.0</v>
      </c>
      <c r="D42" s="9">
        <v>160.0</v>
      </c>
      <c r="E42" s="10" t="s">
        <v>173</v>
      </c>
      <c r="F42" s="11" t="s">
        <v>174</v>
      </c>
      <c r="G42" s="22" t="s">
        <v>175</v>
      </c>
      <c r="H42" s="9">
        <v>30.0</v>
      </c>
      <c r="I42" s="13">
        <v>46038.0</v>
      </c>
      <c r="J42" s="13">
        <v>46044.0</v>
      </c>
      <c r="K42" s="13">
        <v>46045.0</v>
      </c>
      <c r="L42" s="13">
        <v>46053.0</v>
      </c>
    </row>
    <row r="43">
      <c r="A43" s="7" t="s">
        <v>135</v>
      </c>
      <c r="B43" s="8" t="s">
        <v>176</v>
      </c>
      <c r="C43" s="9">
        <v>206.0</v>
      </c>
      <c r="D43" s="9">
        <v>160.0</v>
      </c>
      <c r="E43" s="10" t="s">
        <v>177</v>
      </c>
      <c r="F43" s="11" t="s">
        <v>178</v>
      </c>
      <c r="G43" s="22" t="s">
        <v>179</v>
      </c>
      <c r="H43" s="9">
        <v>30.0</v>
      </c>
      <c r="I43" s="13">
        <v>46038.0</v>
      </c>
      <c r="J43" s="13">
        <v>46044.0</v>
      </c>
      <c r="K43" s="13">
        <v>46045.0</v>
      </c>
      <c r="L43" s="13">
        <v>46053.0</v>
      </c>
    </row>
    <row r="44">
      <c r="A44" s="7" t="s">
        <v>135</v>
      </c>
      <c r="B44" s="8" t="s">
        <v>180</v>
      </c>
      <c r="C44" s="9">
        <v>79.0</v>
      </c>
      <c r="D44" s="9">
        <v>70.0</v>
      </c>
      <c r="E44" s="10" t="s">
        <v>181</v>
      </c>
      <c r="F44" s="11" t="s">
        <v>182</v>
      </c>
      <c r="G44" s="22" t="s">
        <v>183</v>
      </c>
      <c r="H44" s="9">
        <v>16.0</v>
      </c>
      <c r="I44" s="13">
        <v>46038.0</v>
      </c>
      <c r="J44" s="13">
        <v>46044.0</v>
      </c>
      <c r="K44" s="13">
        <v>46045.0</v>
      </c>
      <c r="L44" s="13">
        <v>46053.0</v>
      </c>
    </row>
    <row r="45">
      <c r="A45" s="7" t="s">
        <v>135</v>
      </c>
      <c r="B45" s="8" t="s">
        <v>184</v>
      </c>
      <c r="C45" s="9">
        <v>30.0</v>
      </c>
      <c r="D45" s="9">
        <v>26.0</v>
      </c>
      <c r="E45" s="10" t="s">
        <v>185</v>
      </c>
      <c r="F45" s="11" t="s">
        <v>186</v>
      </c>
      <c r="G45" s="22" t="s">
        <v>187</v>
      </c>
      <c r="H45" s="9">
        <v>36.0</v>
      </c>
      <c r="I45" s="13">
        <v>46038.0</v>
      </c>
      <c r="J45" s="13">
        <v>46044.0</v>
      </c>
      <c r="K45" s="13">
        <v>46045.0</v>
      </c>
      <c r="L45" s="13">
        <v>46053.0</v>
      </c>
    </row>
    <row r="46">
      <c r="A46" s="7" t="s">
        <v>135</v>
      </c>
      <c r="B46" s="8" t="s">
        <v>188</v>
      </c>
      <c r="C46" s="9">
        <v>1180.0</v>
      </c>
      <c r="D46" s="9">
        <v>390.0</v>
      </c>
      <c r="E46" s="24" t="s">
        <v>189</v>
      </c>
      <c r="F46" s="11" t="s">
        <v>190</v>
      </c>
      <c r="G46" s="22" t="s">
        <v>191</v>
      </c>
      <c r="H46" s="9">
        <v>12.0</v>
      </c>
      <c r="I46" s="13">
        <v>46038.0</v>
      </c>
      <c r="J46" s="13">
        <v>46044.0</v>
      </c>
      <c r="K46" s="13">
        <v>46045.0</v>
      </c>
      <c r="L46" s="13">
        <v>46053.0</v>
      </c>
    </row>
    <row r="47">
      <c r="A47" s="7" t="s">
        <v>192</v>
      </c>
      <c r="B47" s="25" t="s">
        <v>193</v>
      </c>
      <c r="C47" s="9">
        <v>1180.0</v>
      </c>
      <c r="D47" s="9">
        <v>390.0</v>
      </c>
      <c r="E47" s="24" t="s">
        <v>194</v>
      </c>
      <c r="F47" s="14" t="s">
        <v>106</v>
      </c>
      <c r="G47" s="22" t="s">
        <v>163</v>
      </c>
      <c r="H47" s="9">
        <v>12.0</v>
      </c>
      <c r="I47" s="13">
        <v>46045.0</v>
      </c>
      <c r="J47" s="13">
        <v>46051.0</v>
      </c>
      <c r="K47" s="13">
        <v>46052.0</v>
      </c>
      <c r="L47" s="13">
        <v>46053.0</v>
      </c>
    </row>
    <row r="48">
      <c r="A48" s="7" t="s">
        <v>192</v>
      </c>
      <c r="B48" s="25" t="s">
        <v>195</v>
      </c>
      <c r="C48" s="9">
        <v>1180.0</v>
      </c>
      <c r="D48" s="9">
        <v>390.0</v>
      </c>
      <c r="E48" s="24" t="s">
        <v>196</v>
      </c>
      <c r="F48" s="14" t="s">
        <v>110</v>
      </c>
      <c r="G48" s="22" t="s">
        <v>167</v>
      </c>
      <c r="H48" s="9">
        <v>12.0</v>
      </c>
      <c r="I48" s="13">
        <v>46045.0</v>
      </c>
      <c r="J48" s="13">
        <v>46051.0</v>
      </c>
      <c r="K48" s="13">
        <v>46052.0</v>
      </c>
      <c r="L48" s="13">
        <v>46053.0</v>
      </c>
    </row>
    <row r="49">
      <c r="A49" s="7" t="s">
        <v>192</v>
      </c>
      <c r="B49" s="25" t="s">
        <v>197</v>
      </c>
      <c r="C49" s="9">
        <v>1180.0</v>
      </c>
      <c r="D49" s="9">
        <v>390.0</v>
      </c>
      <c r="E49" s="24" t="s">
        <v>196</v>
      </c>
      <c r="F49" s="14" t="s">
        <v>114</v>
      </c>
      <c r="G49" s="22" t="s">
        <v>171</v>
      </c>
      <c r="H49" s="9">
        <v>12.0</v>
      </c>
      <c r="I49" s="13">
        <v>46045.0</v>
      </c>
      <c r="J49" s="13">
        <v>46051.0</v>
      </c>
      <c r="K49" s="13">
        <v>46052.0</v>
      </c>
      <c r="L49" s="13">
        <v>46053.0</v>
      </c>
    </row>
    <row r="50">
      <c r="A50" s="26"/>
      <c r="B50" s="26"/>
    </row>
    <row r="51">
      <c r="A51" s="26"/>
      <c r="B51" s="26"/>
    </row>
    <row r="52">
      <c r="A52" s="26"/>
      <c r="B52" s="26"/>
    </row>
    <row r="53">
      <c r="A53" s="26"/>
      <c r="B53" s="26"/>
    </row>
    <row r="54">
      <c r="A54" s="26"/>
      <c r="B54" s="26"/>
    </row>
    <row r="55">
      <c r="A55" s="26"/>
      <c r="B55" s="26"/>
    </row>
    <row r="56">
      <c r="A56" s="26"/>
      <c r="B56" s="26"/>
    </row>
    <row r="57">
      <c r="A57" s="26"/>
      <c r="B57" s="26"/>
    </row>
    <row r="58">
      <c r="A58" s="26"/>
      <c r="B58" s="26"/>
    </row>
    <row r="59">
      <c r="A59" s="26"/>
      <c r="B59" s="26"/>
    </row>
    <row r="60">
      <c r="A60" s="26"/>
      <c r="B60" s="26"/>
    </row>
    <row r="61">
      <c r="A61" s="26"/>
      <c r="B61" s="26"/>
    </row>
    <row r="62">
      <c r="A62" s="26"/>
      <c r="B62" s="26"/>
    </row>
    <row r="63">
      <c r="A63" s="26"/>
      <c r="B63" s="26"/>
    </row>
    <row r="64">
      <c r="A64" s="26"/>
      <c r="B64" s="26"/>
    </row>
    <row r="65">
      <c r="A65" s="26"/>
      <c r="B65" s="26"/>
    </row>
    <row r="66">
      <c r="A66" s="26"/>
      <c r="B66" s="26"/>
    </row>
    <row r="67">
      <c r="A67" s="26"/>
      <c r="B67" s="26"/>
    </row>
    <row r="68">
      <c r="A68" s="26"/>
      <c r="B68" s="26"/>
    </row>
    <row r="69">
      <c r="A69" s="26"/>
      <c r="B69" s="26"/>
    </row>
    <row r="70">
      <c r="A70" s="26"/>
      <c r="B70" s="26"/>
    </row>
    <row r="71">
      <c r="A71" s="26"/>
      <c r="B71" s="26"/>
    </row>
    <row r="72">
      <c r="A72" s="26"/>
      <c r="B72" s="26"/>
    </row>
    <row r="73">
      <c r="A73" s="26"/>
      <c r="B73" s="26"/>
    </row>
    <row r="74">
      <c r="A74" s="26"/>
      <c r="B74" s="26"/>
    </row>
    <row r="75">
      <c r="A75" s="26"/>
      <c r="B75" s="26"/>
    </row>
    <row r="76">
      <c r="A76" s="26"/>
      <c r="B76" s="26"/>
    </row>
    <row r="77">
      <c r="A77" s="26"/>
      <c r="B77" s="26"/>
    </row>
    <row r="78">
      <c r="A78" s="26"/>
      <c r="B78" s="26"/>
    </row>
    <row r="79">
      <c r="A79" s="26"/>
      <c r="B79" s="26"/>
    </row>
    <row r="80">
      <c r="A80" s="26"/>
      <c r="B80" s="26"/>
    </row>
    <row r="81">
      <c r="A81" s="26"/>
      <c r="B81" s="26"/>
    </row>
    <row r="82">
      <c r="A82" s="26"/>
      <c r="B82" s="26"/>
    </row>
    <row r="83">
      <c r="A83" s="26"/>
      <c r="B83" s="26"/>
    </row>
    <row r="84">
      <c r="A84" s="26"/>
      <c r="B84" s="26"/>
    </row>
    <row r="85">
      <c r="A85" s="26"/>
      <c r="B85" s="26"/>
    </row>
    <row r="86">
      <c r="A86" s="26"/>
      <c r="B86" s="26"/>
    </row>
    <row r="87">
      <c r="A87" s="26"/>
      <c r="B87" s="26"/>
    </row>
    <row r="88">
      <c r="A88" s="26"/>
      <c r="B88" s="26"/>
    </row>
    <row r="89">
      <c r="A89" s="26"/>
      <c r="B89" s="26"/>
    </row>
    <row r="90">
      <c r="A90" s="26"/>
      <c r="B90" s="26"/>
    </row>
    <row r="91">
      <c r="A91" s="26"/>
      <c r="B91" s="26"/>
    </row>
    <row r="92">
      <c r="A92" s="26"/>
      <c r="B92" s="26"/>
    </row>
    <row r="93">
      <c r="A93" s="26"/>
      <c r="B93" s="26"/>
    </row>
    <row r="94">
      <c r="A94" s="26"/>
      <c r="B94" s="26"/>
    </row>
    <row r="95">
      <c r="A95" s="26"/>
      <c r="B95" s="26"/>
    </row>
    <row r="96">
      <c r="A96" s="26"/>
      <c r="B96" s="26"/>
    </row>
    <row r="97">
      <c r="A97" s="26"/>
      <c r="B97" s="26"/>
    </row>
    <row r="98">
      <c r="A98" s="26"/>
      <c r="B98" s="26"/>
    </row>
    <row r="99">
      <c r="A99" s="26"/>
      <c r="B99" s="26"/>
    </row>
    <row r="100">
      <c r="A100" s="26"/>
      <c r="B100" s="26"/>
    </row>
    <row r="101">
      <c r="A101" s="26"/>
      <c r="B101" s="26"/>
    </row>
    <row r="102">
      <c r="A102" s="26"/>
      <c r="B102" s="26"/>
    </row>
    <row r="103">
      <c r="A103" s="26"/>
      <c r="B103" s="26"/>
    </row>
    <row r="104">
      <c r="A104" s="26"/>
      <c r="B104" s="26"/>
    </row>
    <row r="105">
      <c r="A105" s="26"/>
      <c r="B105" s="26"/>
    </row>
    <row r="106">
      <c r="A106" s="26"/>
      <c r="B106" s="26"/>
    </row>
    <row r="107">
      <c r="A107" s="26"/>
      <c r="B107" s="26"/>
    </row>
    <row r="108">
      <c r="A108" s="26"/>
      <c r="B108" s="26"/>
    </row>
    <row r="109">
      <c r="A109" s="26"/>
      <c r="B109" s="26"/>
    </row>
    <row r="110">
      <c r="A110" s="26"/>
      <c r="B110" s="26"/>
    </row>
    <row r="111">
      <c r="A111" s="26"/>
      <c r="B111" s="26"/>
    </row>
    <row r="112">
      <c r="A112" s="26"/>
      <c r="B112" s="26"/>
    </row>
    <row r="113">
      <c r="A113" s="26"/>
      <c r="B113" s="26"/>
    </row>
    <row r="114">
      <c r="A114" s="26"/>
      <c r="B114" s="26"/>
    </row>
    <row r="115">
      <c r="A115" s="26"/>
      <c r="B115" s="26"/>
    </row>
    <row r="116">
      <c r="A116" s="26"/>
      <c r="B116" s="26"/>
    </row>
    <row r="117">
      <c r="A117" s="26"/>
      <c r="B117" s="26"/>
    </row>
    <row r="118">
      <c r="A118" s="26"/>
      <c r="B118" s="26"/>
    </row>
    <row r="119">
      <c r="A119" s="26"/>
      <c r="B119" s="26"/>
    </row>
    <row r="120">
      <c r="A120" s="26"/>
      <c r="B120" s="26"/>
    </row>
    <row r="121">
      <c r="A121" s="26"/>
      <c r="B121" s="26"/>
    </row>
    <row r="122">
      <c r="A122" s="26"/>
      <c r="B122" s="26"/>
    </row>
    <row r="123">
      <c r="A123" s="26"/>
      <c r="B123" s="26"/>
    </row>
    <row r="124">
      <c r="A124" s="26"/>
      <c r="B124" s="26"/>
    </row>
    <row r="125">
      <c r="A125" s="26"/>
      <c r="B125" s="26"/>
    </row>
    <row r="126">
      <c r="A126" s="26"/>
      <c r="B126" s="26"/>
    </row>
    <row r="127">
      <c r="A127" s="26"/>
      <c r="B127" s="26"/>
    </row>
    <row r="128">
      <c r="A128" s="26"/>
      <c r="B128" s="26"/>
    </row>
    <row r="129">
      <c r="A129" s="26"/>
      <c r="B129" s="26"/>
    </row>
    <row r="130">
      <c r="A130" s="26"/>
      <c r="B130" s="26"/>
    </row>
    <row r="131">
      <c r="A131" s="26"/>
      <c r="B131" s="26"/>
    </row>
    <row r="132">
      <c r="A132" s="26"/>
      <c r="B132" s="26"/>
    </row>
    <row r="133">
      <c r="A133" s="26"/>
      <c r="B133" s="26"/>
    </row>
    <row r="134">
      <c r="A134" s="26"/>
      <c r="B134" s="26"/>
    </row>
    <row r="135">
      <c r="A135" s="26"/>
      <c r="B135" s="26"/>
    </row>
    <row r="136">
      <c r="A136" s="26"/>
      <c r="B136" s="26"/>
    </row>
    <row r="137">
      <c r="A137" s="26"/>
      <c r="B137" s="26"/>
    </row>
    <row r="138">
      <c r="A138" s="26"/>
      <c r="B138" s="26"/>
    </row>
    <row r="139">
      <c r="A139" s="26"/>
      <c r="B139" s="26"/>
    </row>
    <row r="140">
      <c r="A140" s="26"/>
      <c r="B140" s="26"/>
    </row>
    <row r="141">
      <c r="A141" s="26"/>
      <c r="B141" s="26"/>
    </row>
    <row r="142">
      <c r="A142" s="26"/>
      <c r="B142" s="26"/>
    </row>
    <row r="143">
      <c r="A143" s="26"/>
      <c r="B143" s="26"/>
    </row>
    <row r="144">
      <c r="A144" s="26"/>
      <c r="B144" s="26"/>
    </row>
    <row r="145">
      <c r="A145" s="26"/>
      <c r="B145" s="26"/>
    </row>
    <row r="146">
      <c r="A146" s="26"/>
      <c r="B146" s="26"/>
    </row>
    <row r="147">
      <c r="A147" s="26"/>
      <c r="B147" s="26"/>
    </row>
    <row r="148">
      <c r="A148" s="26"/>
      <c r="B148" s="26"/>
    </row>
    <row r="149">
      <c r="A149" s="26"/>
      <c r="B149" s="26"/>
    </row>
    <row r="150">
      <c r="A150" s="26"/>
      <c r="B150" s="26"/>
    </row>
    <row r="151">
      <c r="A151" s="26"/>
      <c r="B151" s="26"/>
    </row>
    <row r="152">
      <c r="A152" s="26"/>
      <c r="B152" s="26"/>
    </row>
    <row r="153">
      <c r="A153" s="26"/>
      <c r="B153" s="26"/>
    </row>
    <row r="154">
      <c r="A154" s="26"/>
      <c r="B154" s="26"/>
    </row>
    <row r="155">
      <c r="A155" s="26"/>
      <c r="B155" s="26"/>
    </row>
    <row r="156">
      <c r="A156" s="26"/>
      <c r="B156" s="26"/>
    </row>
    <row r="157">
      <c r="A157" s="26"/>
      <c r="B157" s="26"/>
    </row>
    <row r="158">
      <c r="A158" s="26"/>
      <c r="B158" s="26"/>
    </row>
    <row r="159">
      <c r="A159" s="26"/>
      <c r="B159" s="26"/>
    </row>
    <row r="160">
      <c r="A160" s="26"/>
      <c r="B160" s="26"/>
    </row>
    <row r="161">
      <c r="A161" s="26"/>
      <c r="B161" s="26"/>
    </row>
    <row r="162">
      <c r="A162" s="26"/>
      <c r="B162" s="26"/>
    </row>
    <row r="163">
      <c r="A163" s="26"/>
      <c r="B163" s="26"/>
    </row>
    <row r="164">
      <c r="A164" s="26"/>
      <c r="B164" s="26"/>
    </row>
    <row r="165">
      <c r="A165" s="26"/>
      <c r="B165" s="26"/>
    </row>
    <row r="166">
      <c r="A166" s="26"/>
      <c r="B166" s="26"/>
    </row>
    <row r="167">
      <c r="A167" s="26"/>
      <c r="B167" s="26"/>
    </row>
    <row r="168">
      <c r="A168" s="26"/>
      <c r="B168" s="26"/>
    </row>
    <row r="169">
      <c r="A169" s="26"/>
      <c r="B169" s="26"/>
    </row>
    <row r="170">
      <c r="A170" s="26"/>
      <c r="B170" s="26"/>
    </row>
    <row r="171">
      <c r="A171" s="26"/>
      <c r="B171" s="26"/>
    </row>
    <row r="172">
      <c r="A172" s="26"/>
      <c r="B172" s="26"/>
    </row>
    <row r="173">
      <c r="A173" s="26"/>
      <c r="B173" s="26"/>
    </row>
    <row r="174">
      <c r="A174" s="26"/>
      <c r="B174" s="26"/>
    </row>
    <row r="175">
      <c r="A175" s="26"/>
      <c r="B175" s="26"/>
    </row>
    <row r="176">
      <c r="A176" s="26"/>
      <c r="B176" s="26"/>
    </row>
    <row r="177">
      <c r="A177" s="26"/>
      <c r="B177" s="26"/>
    </row>
    <row r="178">
      <c r="A178" s="26"/>
      <c r="B178" s="26"/>
    </row>
    <row r="179">
      <c r="A179" s="26"/>
      <c r="B179" s="26"/>
    </row>
    <row r="180">
      <c r="A180" s="26"/>
      <c r="B180" s="26"/>
    </row>
    <row r="181">
      <c r="A181" s="26"/>
      <c r="B181" s="26"/>
    </row>
    <row r="182">
      <c r="A182" s="26"/>
      <c r="B182" s="26"/>
    </row>
    <row r="183">
      <c r="A183" s="26"/>
      <c r="B183" s="26"/>
    </row>
    <row r="184">
      <c r="A184" s="26"/>
      <c r="B184" s="26"/>
    </row>
    <row r="185">
      <c r="A185" s="26"/>
      <c r="B185" s="26"/>
    </row>
    <row r="186">
      <c r="A186" s="26"/>
      <c r="B186" s="26"/>
    </row>
    <row r="187">
      <c r="A187" s="26"/>
      <c r="B187" s="26"/>
    </row>
    <row r="188">
      <c r="A188" s="26"/>
      <c r="B188" s="26"/>
    </row>
    <row r="189">
      <c r="A189" s="26"/>
      <c r="B189" s="26"/>
    </row>
    <row r="190">
      <c r="A190" s="26"/>
      <c r="B190" s="26"/>
    </row>
    <row r="191">
      <c r="A191" s="26"/>
      <c r="B191" s="26"/>
    </row>
    <row r="192">
      <c r="A192" s="26"/>
      <c r="B192" s="26"/>
    </row>
    <row r="193">
      <c r="A193" s="26"/>
      <c r="B193" s="26"/>
    </row>
    <row r="194">
      <c r="A194" s="26"/>
      <c r="B194" s="26"/>
    </row>
    <row r="195">
      <c r="A195" s="26"/>
      <c r="B195" s="26"/>
    </row>
    <row r="196">
      <c r="A196" s="26"/>
      <c r="B196" s="26"/>
    </row>
    <row r="197">
      <c r="A197" s="26"/>
      <c r="B197" s="26"/>
    </row>
    <row r="198">
      <c r="A198" s="26"/>
      <c r="B198" s="26"/>
    </row>
    <row r="199">
      <c r="A199" s="26"/>
      <c r="B199" s="26"/>
    </row>
    <row r="200">
      <c r="A200" s="26"/>
      <c r="B200" s="26"/>
    </row>
    <row r="201">
      <c r="A201" s="26"/>
      <c r="B201" s="26"/>
    </row>
    <row r="202">
      <c r="A202" s="26"/>
      <c r="B202" s="26"/>
    </row>
    <row r="203">
      <c r="A203" s="26"/>
      <c r="B203" s="26"/>
    </row>
    <row r="204">
      <c r="A204" s="26"/>
      <c r="B204" s="26"/>
    </row>
    <row r="205">
      <c r="A205" s="26"/>
      <c r="B205" s="26"/>
    </row>
    <row r="206">
      <c r="A206" s="26"/>
      <c r="B206" s="26"/>
    </row>
    <row r="207">
      <c r="A207" s="26"/>
      <c r="B207" s="26"/>
    </row>
    <row r="208">
      <c r="A208" s="26"/>
      <c r="B208" s="26"/>
    </row>
    <row r="209">
      <c r="A209" s="26"/>
      <c r="B209" s="26"/>
    </row>
    <row r="210">
      <c r="A210" s="26"/>
      <c r="B210" s="26"/>
    </row>
    <row r="211">
      <c r="A211" s="26"/>
      <c r="B211" s="26"/>
    </row>
    <row r="212">
      <c r="A212" s="26"/>
      <c r="B212" s="26"/>
    </row>
    <row r="213">
      <c r="A213" s="26"/>
      <c r="B213" s="26"/>
    </row>
    <row r="214">
      <c r="A214" s="26"/>
      <c r="B214" s="26"/>
    </row>
    <row r="215">
      <c r="A215" s="26"/>
      <c r="B215" s="26"/>
    </row>
    <row r="216">
      <c r="A216" s="26"/>
      <c r="B216" s="26"/>
    </row>
    <row r="217">
      <c r="A217" s="26"/>
      <c r="B217" s="26"/>
    </row>
    <row r="218">
      <c r="A218" s="26"/>
      <c r="B218" s="26"/>
    </row>
    <row r="219">
      <c r="A219" s="26"/>
      <c r="B219" s="26"/>
    </row>
    <row r="220">
      <c r="A220" s="26"/>
      <c r="B220" s="26"/>
    </row>
    <row r="221">
      <c r="A221" s="26"/>
      <c r="B221" s="26"/>
    </row>
    <row r="222">
      <c r="A222" s="26"/>
      <c r="B222" s="26"/>
    </row>
    <row r="223">
      <c r="A223" s="26"/>
      <c r="B223" s="26"/>
    </row>
    <row r="224">
      <c r="A224" s="26"/>
      <c r="B224" s="26"/>
    </row>
    <row r="225">
      <c r="A225" s="26"/>
      <c r="B225" s="26"/>
    </row>
    <row r="226">
      <c r="A226" s="26"/>
      <c r="B226" s="26"/>
    </row>
    <row r="227">
      <c r="A227" s="26"/>
      <c r="B227" s="26"/>
    </row>
    <row r="228">
      <c r="A228" s="26"/>
      <c r="B228" s="26"/>
    </row>
    <row r="229">
      <c r="A229" s="26"/>
      <c r="B229" s="26"/>
    </row>
    <row r="230">
      <c r="A230" s="26"/>
      <c r="B230" s="26"/>
    </row>
    <row r="231">
      <c r="A231" s="26"/>
      <c r="B231" s="26"/>
    </row>
    <row r="232">
      <c r="A232" s="26"/>
      <c r="B232" s="26"/>
    </row>
    <row r="233">
      <c r="A233" s="26"/>
      <c r="B233" s="26"/>
    </row>
    <row r="234">
      <c r="A234" s="26"/>
      <c r="B234" s="26"/>
    </row>
    <row r="235">
      <c r="A235" s="26"/>
      <c r="B235" s="26"/>
    </row>
    <row r="236">
      <c r="A236" s="26"/>
      <c r="B236" s="26"/>
    </row>
    <row r="237">
      <c r="A237" s="26"/>
      <c r="B237" s="26"/>
    </row>
    <row r="238">
      <c r="A238" s="26"/>
      <c r="B238" s="26"/>
    </row>
    <row r="239">
      <c r="A239" s="26"/>
      <c r="B239" s="26"/>
    </row>
    <row r="240">
      <c r="A240" s="26"/>
      <c r="B240" s="26"/>
    </row>
    <row r="241">
      <c r="A241" s="26"/>
      <c r="B241" s="26"/>
    </row>
    <row r="242">
      <c r="A242" s="26"/>
      <c r="B242" s="26"/>
    </row>
    <row r="243">
      <c r="A243" s="26"/>
      <c r="B243" s="26"/>
    </row>
    <row r="244">
      <c r="A244" s="26"/>
      <c r="B244" s="26"/>
    </row>
    <row r="245">
      <c r="A245" s="26"/>
      <c r="B245" s="26"/>
    </row>
    <row r="246">
      <c r="A246" s="26"/>
      <c r="B246" s="26"/>
    </row>
    <row r="247">
      <c r="A247" s="26"/>
      <c r="B247" s="26"/>
    </row>
    <row r="248">
      <c r="A248" s="26"/>
      <c r="B248" s="26"/>
    </row>
    <row r="249">
      <c r="A249" s="26"/>
      <c r="B249" s="26"/>
    </row>
    <row r="250">
      <c r="A250" s="26"/>
      <c r="B250" s="26"/>
    </row>
    <row r="251">
      <c r="A251" s="26"/>
      <c r="B251" s="26"/>
    </row>
    <row r="252">
      <c r="A252" s="26"/>
      <c r="B252" s="26"/>
    </row>
    <row r="253">
      <c r="A253" s="26"/>
      <c r="B253" s="26"/>
    </row>
    <row r="254">
      <c r="A254" s="26"/>
      <c r="B254" s="26"/>
    </row>
    <row r="255">
      <c r="A255" s="26"/>
      <c r="B255" s="26"/>
    </row>
    <row r="256">
      <c r="A256" s="26"/>
      <c r="B256" s="26"/>
    </row>
    <row r="257">
      <c r="A257" s="26"/>
      <c r="B257" s="26"/>
    </row>
    <row r="258">
      <c r="A258" s="26"/>
      <c r="B258" s="26"/>
    </row>
    <row r="259">
      <c r="A259" s="26"/>
      <c r="B259" s="26"/>
    </row>
    <row r="260">
      <c r="A260" s="26"/>
      <c r="B260" s="26"/>
    </row>
    <row r="261">
      <c r="A261" s="26"/>
      <c r="B261" s="26"/>
    </row>
    <row r="262">
      <c r="A262" s="26"/>
      <c r="B262" s="26"/>
    </row>
    <row r="263">
      <c r="A263" s="26"/>
      <c r="B263" s="26"/>
    </row>
    <row r="264">
      <c r="A264" s="26"/>
      <c r="B264" s="26"/>
    </row>
    <row r="265">
      <c r="A265" s="26"/>
      <c r="B265" s="26"/>
    </row>
    <row r="266">
      <c r="A266" s="26"/>
      <c r="B266" s="26"/>
    </row>
    <row r="267">
      <c r="A267" s="26"/>
      <c r="B267" s="26"/>
    </row>
    <row r="268">
      <c r="A268" s="26"/>
      <c r="B268" s="26"/>
    </row>
    <row r="269">
      <c r="A269" s="26"/>
      <c r="B269" s="26"/>
    </row>
    <row r="270">
      <c r="A270" s="26"/>
      <c r="B270" s="26"/>
    </row>
    <row r="271">
      <c r="A271" s="26"/>
      <c r="B271" s="26"/>
    </row>
    <row r="272">
      <c r="A272" s="26"/>
      <c r="B272" s="26"/>
    </row>
    <row r="273">
      <c r="A273" s="26"/>
      <c r="B273" s="26"/>
    </row>
    <row r="274">
      <c r="A274" s="26"/>
      <c r="B274" s="26"/>
    </row>
    <row r="275">
      <c r="A275" s="26"/>
      <c r="B275" s="26"/>
    </row>
    <row r="276">
      <c r="A276" s="26"/>
      <c r="B276" s="26"/>
    </row>
    <row r="277">
      <c r="A277" s="26"/>
      <c r="B277" s="26"/>
    </row>
    <row r="278">
      <c r="A278" s="26"/>
      <c r="B278" s="26"/>
    </row>
    <row r="279">
      <c r="A279" s="26"/>
      <c r="B279" s="26"/>
    </row>
    <row r="280">
      <c r="A280" s="26"/>
      <c r="B280" s="26"/>
    </row>
    <row r="281">
      <c r="A281" s="26"/>
      <c r="B281" s="26"/>
    </row>
    <row r="282">
      <c r="A282" s="26"/>
      <c r="B282" s="26"/>
    </row>
    <row r="283">
      <c r="A283" s="26"/>
      <c r="B283" s="26"/>
    </row>
    <row r="284">
      <c r="A284" s="26"/>
      <c r="B284" s="26"/>
    </row>
    <row r="285">
      <c r="A285" s="26"/>
      <c r="B285" s="26"/>
    </row>
    <row r="286">
      <c r="A286" s="26"/>
      <c r="B286" s="26"/>
    </row>
    <row r="287">
      <c r="A287" s="26"/>
      <c r="B287" s="26"/>
    </row>
    <row r="288">
      <c r="A288" s="26"/>
      <c r="B288" s="26"/>
    </row>
    <row r="289">
      <c r="A289" s="26"/>
      <c r="B289" s="26"/>
    </row>
    <row r="290">
      <c r="A290" s="26"/>
      <c r="B290" s="26"/>
    </row>
    <row r="291">
      <c r="A291" s="26"/>
      <c r="B291" s="26"/>
    </row>
    <row r="292">
      <c r="A292" s="26"/>
      <c r="B292" s="26"/>
    </row>
    <row r="293">
      <c r="A293" s="26"/>
      <c r="B293" s="26"/>
    </row>
    <row r="294">
      <c r="A294" s="26"/>
      <c r="B294" s="26"/>
    </row>
    <row r="295">
      <c r="A295" s="26"/>
      <c r="B295" s="26"/>
    </row>
    <row r="296">
      <c r="A296" s="26"/>
      <c r="B296" s="26"/>
    </row>
    <row r="297">
      <c r="A297" s="26"/>
      <c r="B297" s="26"/>
    </row>
    <row r="298">
      <c r="A298" s="26"/>
      <c r="B298" s="26"/>
    </row>
    <row r="299">
      <c r="A299" s="26"/>
      <c r="B299" s="26"/>
    </row>
    <row r="300">
      <c r="A300" s="26"/>
      <c r="B300" s="26"/>
    </row>
    <row r="301">
      <c r="A301" s="26"/>
      <c r="B301" s="26"/>
    </row>
    <row r="302">
      <c r="A302" s="26"/>
      <c r="B302" s="26"/>
    </row>
    <row r="303">
      <c r="A303" s="26"/>
      <c r="B303" s="26"/>
    </row>
    <row r="304">
      <c r="A304" s="26"/>
      <c r="B304" s="26"/>
    </row>
    <row r="305">
      <c r="A305" s="26"/>
      <c r="B305" s="26"/>
    </row>
    <row r="306">
      <c r="A306" s="26"/>
      <c r="B306" s="26"/>
    </row>
    <row r="307">
      <c r="A307" s="26"/>
      <c r="B307" s="26"/>
    </row>
    <row r="308">
      <c r="A308" s="26"/>
      <c r="B308" s="26"/>
    </row>
    <row r="309">
      <c r="A309" s="26"/>
      <c r="B309" s="26"/>
    </row>
    <row r="310">
      <c r="A310" s="26"/>
      <c r="B310" s="26"/>
    </row>
    <row r="311">
      <c r="A311" s="26"/>
      <c r="B311" s="26"/>
    </row>
    <row r="312">
      <c r="A312" s="26"/>
      <c r="B312" s="26"/>
    </row>
    <row r="313">
      <c r="A313" s="26"/>
      <c r="B313" s="26"/>
    </row>
    <row r="314">
      <c r="A314" s="26"/>
      <c r="B314" s="26"/>
    </row>
    <row r="315">
      <c r="A315" s="26"/>
      <c r="B315" s="26"/>
    </row>
    <row r="316">
      <c r="A316" s="26"/>
      <c r="B316" s="26"/>
    </row>
    <row r="317">
      <c r="A317" s="26"/>
      <c r="B317" s="26"/>
    </row>
    <row r="318">
      <c r="A318" s="26"/>
      <c r="B318" s="26"/>
    </row>
    <row r="319">
      <c r="A319" s="26"/>
      <c r="B319" s="26"/>
    </row>
    <row r="320">
      <c r="A320" s="26"/>
      <c r="B320" s="26"/>
    </row>
    <row r="321">
      <c r="A321" s="26"/>
      <c r="B321" s="26"/>
    </row>
    <row r="322">
      <c r="A322" s="26"/>
      <c r="B322" s="26"/>
    </row>
    <row r="323">
      <c r="A323" s="26"/>
      <c r="B323" s="26"/>
    </row>
    <row r="324">
      <c r="A324" s="26"/>
      <c r="B324" s="26"/>
    </row>
    <row r="325">
      <c r="A325" s="26"/>
      <c r="B325" s="26"/>
    </row>
    <row r="326">
      <c r="A326" s="26"/>
      <c r="B326" s="26"/>
    </row>
    <row r="327">
      <c r="A327" s="26"/>
      <c r="B327" s="26"/>
    </row>
    <row r="328">
      <c r="A328" s="26"/>
      <c r="B328" s="26"/>
    </row>
    <row r="329">
      <c r="A329" s="26"/>
      <c r="B329" s="26"/>
    </row>
    <row r="330">
      <c r="A330" s="26"/>
      <c r="B330" s="26"/>
    </row>
    <row r="331">
      <c r="A331" s="26"/>
      <c r="B331" s="26"/>
    </row>
    <row r="332">
      <c r="A332" s="26"/>
      <c r="B332" s="26"/>
    </row>
    <row r="333">
      <c r="A333" s="26"/>
      <c r="B333" s="26"/>
    </row>
    <row r="334">
      <c r="A334" s="26"/>
      <c r="B334" s="26"/>
    </row>
    <row r="335">
      <c r="A335" s="26"/>
      <c r="B335" s="26"/>
    </row>
    <row r="336">
      <c r="A336" s="26"/>
      <c r="B336" s="26"/>
    </row>
    <row r="337">
      <c r="A337" s="26"/>
      <c r="B337" s="26"/>
    </row>
    <row r="338">
      <c r="A338" s="26"/>
      <c r="B338" s="26"/>
    </row>
    <row r="339">
      <c r="A339" s="26"/>
      <c r="B339" s="26"/>
    </row>
    <row r="340">
      <c r="A340" s="26"/>
      <c r="B340" s="26"/>
    </row>
    <row r="341">
      <c r="A341" s="26"/>
      <c r="B341" s="26"/>
    </row>
    <row r="342">
      <c r="A342" s="26"/>
      <c r="B342" s="26"/>
    </row>
    <row r="343">
      <c r="A343" s="26"/>
      <c r="B343" s="26"/>
    </row>
    <row r="344">
      <c r="A344" s="26"/>
      <c r="B344" s="26"/>
    </row>
    <row r="345">
      <c r="A345" s="26"/>
      <c r="B345" s="26"/>
    </row>
    <row r="346">
      <c r="A346" s="26"/>
      <c r="B346" s="26"/>
    </row>
    <row r="347">
      <c r="A347" s="26"/>
      <c r="B347" s="26"/>
    </row>
    <row r="348">
      <c r="A348" s="26"/>
      <c r="B348" s="26"/>
    </row>
    <row r="349">
      <c r="A349" s="26"/>
      <c r="B349" s="26"/>
    </row>
    <row r="350">
      <c r="A350" s="26"/>
      <c r="B350" s="26"/>
    </row>
    <row r="351">
      <c r="A351" s="26"/>
      <c r="B351" s="26"/>
    </row>
    <row r="352">
      <c r="A352" s="26"/>
      <c r="B352" s="26"/>
    </row>
    <row r="353">
      <c r="A353" s="26"/>
      <c r="B353" s="26"/>
    </row>
    <row r="354">
      <c r="A354" s="26"/>
      <c r="B354" s="26"/>
    </row>
    <row r="355">
      <c r="A355" s="26"/>
      <c r="B355" s="26"/>
    </row>
    <row r="356">
      <c r="A356" s="26"/>
      <c r="B356" s="26"/>
    </row>
    <row r="357">
      <c r="A357" s="26"/>
      <c r="B357" s="26"/>
    </row>
    <row r="358">
      <c r="A358" s="26"/>
      <c r="B358" s="26"/>
    </row>
    <row r="359">
      <c r="A359" s="26"/>
      <c r="B359" s="26"/>
    </row>
    <row r="360">
      <c r="A360" s="26"/>
      <c r="B360" s="26"/>
    </row>
    <row r="361">
      <c r="A361" s="26"/>
      <c r="B361" s="26"/>
    </row>
    <row r="362">
      <c r="A362" s="26"/>
      <c r="B362" s="26"/>
    </row>
    <row r="363">
      <c r="A363" s="26"/>
      <c r="B363" s="26"/>
    </row>
    <row r="364">
      <c r="A364" s="26"/>
      <c r="B364" s="26"/>
    </row>
    <row r="365">
      <c r="A365" s="26"/>
      <c r="B365" s="26"/>
    </row>
    <row r="366">
      <c r="A366" s="26"/>
      <c r="B366" s="26"/>
    </row>
    <row r="367">
      <c r="A367" s="26"/>
      <c r="B367" s="26"/>
    </row>
    <row r="368">
      <c r="A368" s="26"/>
      <c r="B368" s="26"/>
    </row>
    <row r="369">
      <c r="A369" s="26"/>
      <c r="B369" s="26"/>
    </row>
    <row r="370">
      <c r="A370" s="26"/>
      <c r="B370" s="26"/>
    </row>
    <row r="371">
      <c r="A371" s="26"/>
      <c r="B371" s="26"/>
    </row>
    <row r="372">
      <c r="A372" s="26"/>
      <c r="B372" s="26"/>
    </row>
    <row r="373">
      <c r="A373" s="26"/>
      <c r="B373" s="26"/>
    </row>
    <row r="374">
      <c r="A374" s="26"/>
      <c r="B374" s="26"/>
    </row>
    <row r="375">
      <c r="A375" s="26"/>
      <c r="B375" s="26"/>
    </row>
    <row r="376">
      <c r="A376" s="26"/>
      <c r="B376" s="26"/>
    </row>
    <row r="377">
      <c r="A377" s="26"/>
      <c r="B377" s="26"/>
    </row>
    <row r="378">
      <c r="A378" s="26"/>
      <c r="B378" s="26"/>
    </row>
    <row r="379">
      <c r="A379" s="26"/>
      <c r="B379" s="26"/>
    </row>
    <row r="380">
      <c r="A380" s="26"/>
      <c r="B380" s="26"/>
    </row>
    <row r="381">
      <c r="A381" s="26"/>
      <c r="B381" s="26"/>
    </row>
    <row r="382">
      <c r="A382" s="26"/>
      <c r="B382" s="26"/>
    </row>
    <row r="383">
      <c r="A383" s="26"/>
      <c r="B383" s="26"/>
    </row>
    <row r="384">
      <c r="A384" s="26"/>
      <c r="B384" s="26"/>
    </row>
    <row r="385">
      <c r="A385" s="26"/>
      <c r="B385" s="26"/>
    </row>
    <row r="386">
      <c r="A386" s="26"/>
      <c r="B386" s="26"/>
    </row>
    <row r="387">
      <c r="A387" s="26"/>
      <c r="B387" s="26"/>
    </row>
    <row r="388">
      <c r="A388" s="26"/>
      <c r="B388" s="26"/>
    </row>
    <row r="389">
      <c r="A389" s="26"/>
      <c r="B389" s="26"/>
    </row>
    <row r="390">
      <c r="A390" s="26"/>
      <c r="B390" s="26"/>
    </row>
    <row r="391">
      <c r="A391" s="26"/>
      <c r="B391" s="26"/>
    </row>
    <row r="392">
      <c r="A392" s="26"/>
      <c r="B392" s="26"/>
    </row>
    <row r="393">
      <c r="A393" s="26"/>
      <c r="B393" s="26"/>
    </row>
    <row r="394">
      <c r="A394" s="26"/>
      <c r="B394" s="26"/>
    </row>
    <row r="395">
      <c r="A395" s="26"/>
      <c r="B395" s="26"/>
    </row>
    <row r="396">
      <c r="A396" s="26"/>
      <c r="B396" s="26"/>
    </row>
    <row r="397">
      <c r="A397" s="26"/>
      <c r="B397" s="26"/>
    </row>
    <row r="398">
      <c r="A398" s="26"/>
      <c r="B398" s="26"/>
    </row>
    <row r="399">
      <c r="A399" s="26"/>
      <c r="B399" s="26"/>
    </row>
    <row r="400">
      <c r="A400" s="26"/>
      <c r="B400" s="26"/>
    </row>
    <row r="401">
      <c r="A401" s="26"/>
      <c r="B401" s="26"/>
    </row>
    <row r="402">
      <c r="A402" s="26"/>
      <c r="B402" s="26"/>
    </row>
    <row r="403">
      <c r="A403" s="26"/>
      <c r="B403" s="26"/>
    </row>
    <row r="404">
      <c r="A404" s="26"/>
      <c r="B404" s="26"/>
    </row>
    <row r="405">
      <c r="A405" s="26"/>
      <c r="B405" s="26"/>
    </row>
    <row r="406">
      <c r="A406" s="26"/>
      <c r="B406" s="26"/>
    </row>
    <row r="407">
      <c r="A407" s="26"/>
      <c r="B407" s="26"/>
    </row>
    <row r="408">
      <c r="A408" s="26"/>
      <c r="B408" s="26"/>
    </row>
    <row r="409">
      <c r="A409" s="26"/>
      <c r="B409" s="26"/>
    </row>
    <row r="410">
      <c r="A410" s="26"/>
      <c r="B410" s="26"/>
    </row>
    <row r="411">
      <c r="A411" s="26"/>
      <c r="B411" s="26"/>
    </row>
    <row r="412">
      <c r="A412" s="26"/>
      <c r="B412" s="26"/>
    </row>
    <row r="413">
      <c r="A413" s="26"/>
      <c r="B413" s="26"/>
    </row>
    <row r="414">
      <c r="A414" s="26"/>
      <c r="B414" s="26"/>
    </row>
    <row r="415">
      <c r="A415" s="26"/>
      <c r="B415" s="26"/>
    </row>
    <row r="416">
      <c r="A416" s="26"/>
      <c r="B416" s="26"/>
    </row>
    <row r="417">
      <c r="A417" s="26"/>
      <c r="B417" s="26"/>
    </row>
    <row r="418">
      <c r="A418" s="26"/>
      <c r="B418" s="26"/>
    </row>
    <row r="419">
      <c r="A419" s="26"/>
      <c r="B419" s="26"/>
    </row>
    <row r="420">
      <c r="A420" s="26"/>
      <c r="B420" s="26"/>
    </row>
    <row r="421">
      <c r="A421" s="26"/>
      <c r="B421" s="26"/>
    </row>
    <row r="422">
      <c r="A422" s="26"/>
      <c r="B422" s="26"/>
    </row>
    <row r="423">
      <c r="A423" s="26"/>
      <c r="B423" s="26"/>
    </row>
    <row r="424">
      <c r="A424" s="26"/>
      <c r="B424" s="26"/>
    </row>
    <row r="425">
      <c r="A425" s="26"/>
      <c r="B425" s="26"/>
    </row>
    <row r="426">
      <c r="A426" s="26"/>
      <c r="B426" s="26"/>
    </row>
    <row r="427">
      <c r="A427" s="26"/>
      <c r="B427" s="26"/>
    </row>
    <row r="428">
      <c r="A428" s="26"/>
      <c r="B428" s="26"/>
    </row>
    <row r="429">
      <c r="A429" s="26"/>
      <c r="B429" s="26"/>
    </row>
    <row r="430">
      <c r="A430" s="26"/>
      <c r="B430" s="26"/>
    </row>
    <row r="431">
      <c r="A431" s="26"/>
      <c r="B431" s="26"/>
    </row>
    <row r="432">
      <c r="A432" s="26"/>
      <c r="B432" s="26"/>
    </row>
    <row r="433">
      <c r="A433" s="26"/>
      <c r="B433" s="26"/>
    </row>
    <row r="434">
      <c r="A434" s="26"/>
      <c r="B434" s="26"/>
    </row>
    <row r="435">
      <c r="A435" s="26"/>
      <c r="B435" s="26"/>
    </row>
    <row r="436">
      <c r="A436" s="26"/>
      <c r="B436" s="26"/>
    </row>
    <row r="437">
      <c r="A437" s="26"/>
      <c r="B437" s="26"/>
    </row>
    <row r="438">
      <c r="A438" s="26"/>
      <c r="B438" s="26"/>
    </row>
    <row r="439">
      <c r="A439" s="26"/>
      <c r="B439" s="26"/>
    </row>
    <row r="440">
      <c r="A440" s="26"/>
      <c r="B440" s="26"/>
    </row>
    <row r="441">
      <c r="A441" s="26"/>
      <c r="B441" s="26"/>
    </row>
    <row r="442">
      <c r="A442" s="26"/>
      <c r="B442" s="26"/>
    </row>
    <row r="443">
      <c r="A443" s="26"/>
      <c r="B443" s="26"/>
    </row>
    <row r="444">
      <c r="A444" s="26"/>
      <c r="B444" s="26"/>
    </row>
    <row r="445">
      <c r="A445" s="26"/>
      <c r="B445" s="26"/>
    </row>
    <row r="446">
      <c r="A446" s="26"/>
      <c r="B446" s="26"/>
    </row>
    <row r="447">
      <c r="A447" s="26"/>
      <c r="B447" s="26"/>
    </row>
    <row r="448">
      <c r="A448" s="26"/>
      <c r="B448" s="26"/>
    </row>
    <row r="449">
      <c r="A449" s="26"/>
      <c r="B449" s="26"/>
    </row>
    <row r="450">
      <c r="A450" s="26"/>
      <c r="B450" s="26"/>
    </row>
    <row r="451">
      <c r="A451" s="26"/>
      <c r="B451" s="26"/>
    </row>
    <row r="452">
      <c r="A452" s="26"/>
      <c r="B452" s="26"/>
    </row>
    <row r="453">
      <c r="A453" s="26"/>
      <c r="B453" s="26"/>
    </row>
    <row r="454">
      <c r="A454" s="26"/>
      <c r="B454" s="26"/>
    </row>
    <row r="455">
      <c r="A455" s="26"/>
      <c r="B455" s="26"/>
    </row>
    <row r="456">
      <c r="A456" s="26"/>
      <c r="B456" s="26"/>
    </row>
    <row r="457">
      <c r="A457" s="26"/>
      <c r="B457" s="26"/>
    </row>
    <row r="458">
      <c r="A458" s="26"/>
      <c r="B458" s="26"/>
    </row>
    <row r="459">
      <c r="A459" s="26"/>
      <c r="B459" s="26"/>
    </row>
    <row r="460">
      <c r="A460" s="26"/>
      <c r="B460" s="26"/>
    </row>
    <row r="461">
      <c r="A461" s="26"/>
      <c r="B461" s="26"/>
    </row>
    <row r="462">
      <c r="A462" s="26"/>
      <c r="B462" s="26"/>
    </row>
    <row r="463">
      <c r="A463" s="26"/>
      <c r="B463" s="26"/>
    </row>
    <row r="464">
      <c r="A464" s="26"/>
      <c r="B464" s="26"/>
    </row>
    <row r="465">
      <c r="A465" s="26"/>
      <c r="B465" s="26"/>
    </row>
    <row r="466">
      <c r="A466" s="26"/>
      <c r="B466" s="26"/>
    </row>
    <row r="467">
      <c r="A467" s="26"/>
      <c r="B467" s="26"/>
    </row>
    <row r="468">
      <c r="A468" s="26"/>
      <c r="B468" s="26"/>
    </row>
    <row r="469">
      <c r="A469" s="26"/>
      <c r="B469" s="26"/>
    </row>
    <row r="470">
      <c r="A470" s="26"/>
      <c r="B470" s="26"/>
    </row>
    <row r="471">
      <c r="A471" s="26"/>
      <c r="B471" s="26"/>
    </row>
    <row r="472">
      <c r="A472" s="26"/>
      <c r="B472" s="26"/>
    </row>
    <row r="473">
      <c r="A473" s="26"/>
      <c r="B473" s="26"/>
    </row>
    <row r="474">
      <c r="A474" s="26"/>
      <c r="B474" s="26"/>
    </row>
    <row r="475">
      <c r="A475" s="26"/>
      <c r="B475" s="26"/>
    </row>
    <row r="476">
      <c r="A476" s="26"/>
      <c r="B476" s="26"/>
    </row>
    <row r="477">
      <c r="A477" s="26"/>
      <c r="B477" s="26"/>
    </row>
    <row r="478">
      <c r="A478" s="26"/>
      <c r="B478" s="26"/>
    </row>
    <row r="479">
      <c r="A479" s="26"/>
      <c r="B479" s="26"/>
    </row>
    <row r="480">
      <c r="A480" s="26"/>
      <c r="B480" s="26"/>
    </row>
    <row r="481">
      <c r="A481" s="26"/>
      <c r="B481" s="26"/>
    </row>
    <row r="482">
      <c r="A482" s="26"/>
      <c r="B482" s="26"/>
    </row>
    <row r="483">
      <c r="A483" s="26"/>
      <c r="B483" s="26"/>
    </row>
    <row r="484">
      <c r="A484" s="26"/>
      <c r="B484" s="26"/>
    </row>
    <row r="485">
      <c r="A485" s="26"/>
      <c r="B485" s="26"/>
    </row>
    <row r="486">
      <c r="A486" s="26"/>
      <c r="B486" s="26"/>
    </row>
    <row r="487">
      <c r="A487" s="26"/>
      <c r="B487" s="26"/>
    </row>
    <row r="488">
      <c r="A488" s="26"/>
      <c r="B488" s="26"/>
    </row>
    <row r="489">
      <c r="A489" s="26"/>
      <c r="B489" s="26"/>
    </row>
    <row r="490">
      <c r="A490" s="26"/>
      <c r="B490" s="26"/>
    </row>
    <row r="491">
      <c r="A491" s="26"/>
      <c r="B491" s="26"/>
    </row>
    <row r="492">
      <c r="A492" s="26"/>
      <c r="B492" s="26"/>
    </row>
    <row r="493">
      <c r="A493" s="26"/>
      <c r="B493" s="26"/>
    </row>
    <row r="494">
      <c r="A494" s="26"/>
      <c r="B494" s="26"/>
    </row>
    <row r="495">
      <c r="A495" s="26"/>
      <c r="B495" s="26"/>
    </row>
    <row r="496">
      <c r="A496" s="26"/>
      <c r="B496" s="26"/>
    </row>
    <row r="497">
      <c r="A497" s="26"/>
      <c r="B497" s="26"/>
    </row>
    <row r="498">
      <c r="A498" s="26"/>
      <c r="B498" s="26"/>
    </row>
    <row r="499">
      <c r="A499" s="26"/>
      <c r="B499" s="26"/>
    </row>
    <row r="500">
      <c r="A500" s="26"/>
      <c r="B500" s="26"/>
    </row>
    <row r="501">
      <c r="A501" s="26"/>
      <c r="B501" s="26"/>
    </row>
    <row r="502">
      <c r="A502" s="26"/>
      <c r="B502" s="26"/>
    </row>
    <row r="503">
      <c r="A503" s="26"/>
      <c r="B503" s="26"/>
    </row>
    <row r="504">
      <c r="A504" s="26"/>
      <c r="B504" s="26"/>
    </row>
    <row r="505">
      <c r="A505" s="26"/>
      <c r="B505" s="26"/>
    </row>
    <row r="506">
      <c r="A506" s="26"/>
      <c r="B506" s="26"/>
    </row>
    <row r="507">
      <c r="A507" s="26"/>
      <c r="B507" s="26"/>
    </row>
    <row r="508">
      <c r="A508" s="26"/>
      <c r="B508" s="26"/>
    </row>
    <row r="509">
      <c r="A509" s="26"/>
      <c r="B509" s="26"/>
    </row>
    <row r="510">
      <c r="A510" s="26"/>
      <c r="B510" s="26"/>
    </row>
    <row r="511">
      <c r="A511" s="26"/>
      <c r="B511" s="26"/>
    </row>
    <row r="512">
      <c r="A512" s="26"/>
      <c r="B512" s="26"/>
    </row>
    <row r="513">
      <c r="A513" s="26"/>
      <c r="B513" s="26"/>
    </row>
    <row r="514">
      <c r="A514" s="26"/>
      <c r="B514" s="26"/>
    </row>
    <row r="515">
      <c r="A515" s="26"/>
      <c r="B515" s="26"/>
    </row>
    <row r="516">
      <c r="A516" s="26"/>
      <c r="B516" s="26"/>
    </row>
    <row r="517">
      <c r="A517" s="26"/>
      <c r="B517" s="26"/>
    </row>
    <row r="518">
      <c r="A518" s="26"/>
      <c r="B518" s="26"/>
    </row>
    <row r="519">
      <c r="A519" s="26"/>
      <c r="B519" s="26"/>
    </row>
    <row r="520">
      <c r="A520" s="26"/>
      <c r="B520" s="26"/>
    </row>
    <row r="521">
      <c r="A521" s="26"/>
      <c r="B521" s="26"/>
    </row>
    <row r="522">
      <c r="A522" s="26"/>
      <c r="B522" s="26"/>
    </row>
    <row r="523">
      <c r="A523" s="26"/>
      <c r="B523" s="26"/>
    </row>
    <row r="524">
      <c r="A524" s="26"/>
      <c r="B524" s="26"/>
    </row>
    <row r="525">
      <c r="A525" s="26"/>
      <c r="B525" s="26"/>
    </row>
    <row r="526">
      <c r="A526" s="26"/>
      <c r="B526" s="26"/>
    </row>
    <row r="527">
      <c r="A527" s="26"/>
      <c r="B527" s="26"/>
    </row>
    <row r="528">
      <c r="A528" s="26"/>
      <c r="B528" s="26"/>
    </row>
    <row r="529">
      <c r="A529" s="26"/>
      <c r="B529" s="26"/>
    </row>
    <row r="530">
      <c r="A530" s="26"/>
      <c r="B530" s="26"/>
    </row>
    <row r="531">
      <c r="A531" s="26"/>
      <c r="B531" s="26"/>
    </row>
    <row r="532">
      <c r="A532" s="26"/>
      <c r="B532" s="26"/>
    </row>
    <row r="533">
      <c r="A533" s="26"/>
      <c r="B533" s="26"/>
    </row>
    <row r="534">
      <c r="A534" s="26"/>
      <c r="B534" s="26"/>
    </row>
    <row r="535">
      <c r="A535" s="26"/>
      <c r="B535" s="26"/>
    </row>
    <row r="536">
      <c r="A536" s="26"/>
      <c r="B536" s="26"/>
    </row>
    <row r="537">
      <c r="A537" s="26"/>
      <c r="B537" s="26"/>
    </row>
    <row r="538">
      <c r="A538" s="26"/>
      <c r="B538" s="26"/>
    </row>
    <row r="539">
      <c r="A539" s="26"/>
      <c r="B539" s="26"/>
    </row>
    <row r="540">
      <c r="A540" s="26"/>
      <c r="B540" s="26"/>
    </row>
    <row r="541">
      <c r="A541" s="26"/>
      <c r="B541" s="26"/>
    </row>
    <row r="542">
      <c r="A542" s="26"/>
      <c r="B542" s="26"/>
    </row>
    <row r="543">
      <c r="A543" s="26"/>
      <c r="B543" s="26"/>
    </row>
    <row r="544">
      <c r="A544" s="26"/>
      <c r="B544" s="26"/>
    </row>
    <row r="545">
      <c r="A545" s="26"/>
      <c r="B545" s="26"/>
    </row>
    <row r="546">
      <c r="A546" s="26"/>
      <c r="B546" s="26"/>
    </row>
    <row r="547">
      <c r="A547" s="26"/>
      <c r="B547" s="26"/>
    </row>
    <row r="548">
      <c r="A548" s="26"/>
      <c r="B548" s="26"/>
    </row>
    <row r="549">
      <c r="A549" s="26"/>
      <c r="B549" s="26"/>
    </row>
    <row r="550">
      <c r="A550" s="26"/>
      <c r="B550" s="26"/>
    </row>
    <row r="551">
      <c r="A551" s="26"/>
      <c r="B551" s="26"/>
    </row>
    <row r="552">
      <c r="A552" s="26"/>
      <c r="B552" s="26"/>
    </row>
    <row r="553">
      <c r="A553" s="26"/>
      <c r="B553" s="26"/>
    </row>
    <row r="554">
      <c r="A554" s="26"/>
      <c r="B554" s="26"/>
    </row>
    <row r="555">
      <c r="A555" s="26"/>
      <c r="B555" s="26"/>
    </row>
    <row r="556">
      <c r="A556" s="26"/>
      <c r="B556" s="26"/>
    </row>
    <row r="557">
      <c r="A557" s="26"/>
      <c r="B557" s="26"/>
    </row>
    <row r="558">
      <c r="A558" s="26"/>
      <c r="B558" s="26"/>
    </row>
    <row r="559">
      <c r="A559" s="26"/>
      <c r="B559" s="26"/>
    </row>
    <row r="560">
      <c r="A560" s="26"/>
      <c r="B560" s="26"/>
    </row>
    <row r="561">
      <c r="A561" s="26"/>
      <c r="B561" s="26"/>
    </row>
    <row r="562">
      <c r="A562" s="26"/>
      <c r="B562" s="26"/>
    </row>
    <row r="563">
      <c r="A563" s="26"/>
      <c r="B563" s="26"/>
    </row>
    <row r="564">
      <c r="A564" s="26"/>
      <c r="B564" s="26"/>
    </row>
    <row r="565">
      <c r="A565" s="26"/>
      <c r="B565" s="26"/>
    </row>
    <row r="566">
      <c r="A566" s="26"/>
      <c r="B566" s="26"/>
    </row>
    <row r="567">
      <c r="A567" s="26"/>
      <c r="B567" s="26"/>
    </row>
    <row r="568">
      <c r="A568" s="26"/>
      <c r="B568" s="26"/>
    </row>
    <row r="569">
      <c r="A569" s="26"/>
      <c r="B569" s="26"/>
    </row>
    <row r="570">
      <c r="A570" s="26"/>
      <c r="B570" s="26"/>
    </row>
    <row r="571">
      <c r="A571" s="26"/>
      <c r="B571" s="26"/>
    </row>
    <row r="572">
      <c r="A572" s="26"/>
      <c r="B572" s="26"/>
    </row>
    <row r="573">
      <c r="A573" s="26"/>
      <c r="B573" s="26"/>
    </row>
    <row r="574">
      <c r="A574" s="26"/>
      <c r="B574" s="26"/>
    </row>
    <row r="575">
      <c r="A575" s="26"/>
      <c r="B575" s="26"/>
    </row>
    <row r="576">
      <c r="A576" s="26"/>
      <c r="B576" s="26"/>
    </row>
    <row r="577">
      <c r="A577" s="26"/>
      <c r="B577" s="26"/>
    </row>
    <row r="578">
      <c r="A578" s="26"/>
      <c r="B578" s="26"/>
    </row>
    <row r="579">
      <c r="A579" s="26"/>
      <c r="B579" s="26"/>
    </row>
    <row r="580">
      <c r="A580" s="26"/>
      <c r="B580" s="26"/>
    </row>
    <row r="581">
      <c r="A581" s="26"/>
      <c r="B581" s="26"/>
    </row>
    <row r="582">
      <c r="A582" s="26"/>
      <c r="B582" s="26"/>
    </row>
    <row r="583">
      <c r="A583" s="26"/>
      <c r="B583" s="26"/>
    </row>
    <row r="584">
      <c r="A584" s="26"/>
      <c r="B584" s="26"/>
    </row>
    <row r="585">
      <c r="A585" s="26"/>
      <c r="B585" s="26"/>
    </row>
    <row r="586">
      <c r="A586" s="26"/>
      <c r="B586" s="26"/>
    </row>
    <row r="587">
      <c r="A587" s="26"/>
      <c r="B587" s="26"/>
    </row>
    <row r="588">
      <c r="A588" s="26"/>
      <c r="B588" s="26"/>
    </row>
    <row r="589">
      <c r="A589" s="26"/>
      <c r="B589" s="26"/>
    </row>
    <row r="590">
      <c r="A590" s="26"/>
      <c r="B590" s="26"/>
    </row>
    <row r="591">
      <c r="A591" s="26"/>
      <c r="B591" s="26"/>
    </row>
    <row r="592">
      <c r="A592" s="26"/>
      <c r="B592" s="26"/>
    </row>
    <row r="593">
      <c r="A593" s="26"/>
      <c r="B593" s="26"/>
    </row>
    <row r="594">
      <c r="A594" s="26"/>
      <c r="B594" s="26"/>
    </row>
    <row r="595">
      <c r="A595" s="26"/>
      <c r="B595" s="26"/>
    </row>
    <row r="596">
      <c r="A596" s="26"/>
      <c r="B596" s="26"/>
    </row>
    <row r="597">
      <c r="A597" s="26"/>
      <c r="B597" s="26"/>
    </row>
    <row r="598">
      <c r="A598" s="26"/>
      <c r="B598" s="26"/>
    </row>
    <row r="599">
      <c r="A599" s="26"/>
      <c r="B599" s="26"/>
    </row>
    <row r="600">
      <c r="A600" s="26"/>
      <c r="B600" s="26"/>
    </row>
    <row r="601">
      <c r="A601" s="26"/>
      <c r="B601" s="26"/>
    </row>
    <row r="602">
      <c r="A602" s="26"/>
      <c r="B602" s="26"/>
    </row>
    <row r="603">
      <c r="A603" s="26"/>
      <c r="B603" s="26"/>
    </row>
    <row r="604">
      <c r="A604" s="26"/>
      <c r="B604" s="26"/>
    </row>
    <row r="605">
      <c r="A605" s="26"/>
      <c r="B605" s="26"/>
    </row>
    <row r="606">
      <c r="A606" s="26"/>
      <c r="B606" s="26"/>
    </row>
    <row r="607">
      <c r="A607" s="26"/>
      <c r="B607" s="26"/>
    </row>
    <row r="608">
      <c r="A608" s="26"/>
      <c r="B608" s="26"/>
    </row>
    <row r="609">
      <c r="A609" s="26"/>
      <c r="B609" s="26"/>
    </row>
    <row r="610">
      <c r="A610" s="26"/>
      <c r="B610" s="26"/>
    </row>
    <row r="611">
      <c r="A611" s="26"/>
      <c r="B611" s="26"/>
    </row>
    <row r="612">
      <c r="A612" s="26"/>
      <c r="B612" s="26"/>
    </row>
    <row r="613">
      <c r="A613" s="26"/>
      <c r="B613" s="26"/>
    </row>
    <row r="614">
      <c r="A614" s="26"/>
      <c r="B614" s="26"/>
    </row>
    <row r="615">
      <c r="A615" s="26"/>
      <c r="B615" s="26"/>
    </row>
    <row r="616">
      <c r="A616" s="26"/>
      <c r="B616" s="26"/>
    </row>
    <row r="617">
      <c r="A617" s="26"/>
      <c r="B617" s="26"/>
    </row>
    <row r="618">
      <c r="A618" s="26"/>
      <c r="B618" s="26"/>
    </row>
    <row r="619">
      <c r="A619" s="26"/>
      <c r="B619" s="26"/>
    </row>
    <row r="620">
      <c r="A620" s="26"/>
      <c r="B620" s="26"/>
    </row>
    <row r="621">
      <c r="A621" s="26"/>
      <c r="B621" s="26"/>
    </row>
    <row r="622">
      <c r="A622" s="26"/>
      <c r="B622" s="26"/>
    </row>
    <row r="623">
      <c r="A623" s="26"/>
      <c r="B623" s="26"/>
    </row>
    <row r="624">
      <c r="A624" s="26"/>
      <c r="B624" s="26"/>
    </row>
    <row r="625">
      <c r="A625" s="26"/>
      <c r="B625" s="26"/>
    </row>
    <row r="626">
      <c r="A626" s="26"/>
      <c r="B626" s="26"/>
    </row>
    <row r="627">
      <c r="A627" s="26"/>
      <c r="B627" s="26"/>
    </row>
    <row r="628">
      <c r="A628" s="26"/>
      <c r="B628" s="26"/>
    </row>
    <row r="629">
      <c r="A629" s="26"/>
      <c r="B629" s="26"/>
    </row>
    <row r="630">
      <c r="A630" s="26"/>
      <c r="B630" s="26"/>
    </row>
    <row r="631">
      <c r="A631" s="26"/>
      <c r="B631" s="26"/>
    </row>
    <row r="632">
      <c r="A632" s="26"/>
      <c r="B632" s="26"/>
    </row>
    <row r="633">
      <c r="A633" s="26"/>
      <c r="B633" s="26"/>
    </row>
    <row r="634">
      <c r="A634" s="26"/>
      <c r="B634" s="26"/>
    </row>
    <row r="635">
      <c r="A635" s="26"/>
      <c r="B635" s="26"/>
    </row>
    <row r="636">
      <c r="A636" s="26"/>
      <c r="B636" s="26"/>
    </row>
    <row r="637">
      <c r="A637" s="26"/>
      <c r="B637" s="26"/>
    </row>
    <row r="638">
      <c r="A638" s="26"/>
      <c r="B638" s="26"/>
    </row>
    <row r="639">
      <c r="A639" s="26"/>
      <c r="B639" s="26"/>
    </row>
    <row r="640">
      <c r="A640" s="26"/>
      <c r="B640" s="26"/>
    </row>
    <row r="641">
      <c r="A641" s="26"/>
      <c r="B641" s="26"/>
    </row>
    <row r="642">
      <c r="A642" s="26"/>
      <c r="B642" s="26"/>
    </row>
    <row r="643">
      <c r="A643" s="26"/>
      <c r="B643" s="26"/>
    </row>
    <row r="644">
      <c r="A644" s="26"/>
      <c r="B644" s="26"/>
    </row>
    <row r="645">
      <c r="A645" s="26"/>
      <c r="B645" s="26"/>
    </row>
    <row r="646">
      <c r="A646" s="26"/>
      <c r="B646" s="26"/>
    </row>
    <row r="647">
      <c r="A647" s="26"/>
      <c r="B647" s="26"/>
    </row>
    <row r="648">
      <c r="A648" s="26"/>
      <c r="B648" s="26"/>
    </row>
    <row r="649">
      <c r="A649" s="26"/>
      <c r="B649" s="26"/>
    </row>
    <row r="650">
      <c r="A650" s="26"/>
      <c r="B650" s="26"/>
    </row>
    <row r="651">
      <c r="A651" s="26"/>
      <c r="B651" s="26"/>
    </row>
    <row r="652">
      <c r="A652" s="26"/>
      <c r="B652" s="26"/>
    </row>
    <row r="653">
      <c r="A653" s="26"/>
      <c r="B653" s="26"/>
    </row>
    <row r="654">
      <c r="A654" s="26"/>
      <c r="B654" s="26"/>
    </row>
    <row r="655">
      <c r="A655" s="26"/>
      <c r="B655" s="26"/>
    </row>
    <row r="656">
      <c r="A656" s="26"/>
      <c r="B656" s="26"/>
    </row>
    <row r="657">
      <c r="A657" s="26"/>
      <c r="B657" s="26"/>
    </row>
    <row r="658">
      <c r="A658" s="26"/>
      <c r="B658" s="26"/>
    </row>
    <row r="659">
      <c r="A659" s="26"/>
      <c r="B659" s="26"/>
    </row>
    <row r="660">
      <c r="A660" s="26"/>
      <c r="B660" s="26"/>
    </row>
    <row r="661">
      <c r="A661" s="26"/>
      <c r="B661" s="26"/>
    </row>
    <row r="662">
      <c r="A662" s="26"/>
      <c r="B662" s="26"/>
    </row>
    <row r="663">
      <c r="A663" s="26"/>
      <c r="B663" s="26"/>
    </row>
    <row r="664">
      <c r="A664" s="26"/>
      <c r="B664" s="26"/>
    </row>
    <row r="665">
      <c r="A665" s="26"/>
      <c r="B665" s="26"/>
    </row>
    <row r="666">
      <c r="A666" s="26"/>
      <c r="B666" s="26"/>
    </row>
    <row r="667">
      <c r="A667" s="26"/>
      <c r="B667" s="26"/>
    </row>
    <row r="668">
      <c r="A668" s="26"/>
      <c r="B668" s="26"/>
    </row>
    <row r="669">
      <c r="A669" s="26"/>
      <c r="B669" s="26"/>
    </row>
    <row r="670">
      <c r="A670" s="26"/>
      <c r="B670" s="26"/>
    </row>
    <row r="671">
      <c r="A671" s="26"/>
      <c r="B671" s="26"/>
    </row>
    <row r="672">
      <c r="A672" s="26"/>
      <c r="B672" s="26"/>
    </row>
    <row r="673">
      <c r="A673" s="26"/>
      <c r="B673" s="26"/>
    </row>
    <row r="674">
      <c r="A674" s="26"/>
      <c r="B674" s="26"/>
    </row>
    <row r="675">
      <c r="A675" s="26"/>
      <c r="B675" s="26"/>
    </row>
    <row r="676">
      <c r="A676" s="26"/>
      <c r="B676" s="26"/>
    </row>
    <row r="677">
      <c r="A677" s="26"/>
      <c r="B677" s="26"/>
    </row>
    <row r="678">
      <c r="A678" s="26"/>
      <c r="B678" s="26"/>
    </row>
    <row r="679">
      <c r="A679" s="26"/>
      <c r="B679" s="26"/>
    </row>
    <row r="680">
      <c r="A680" s="26"/>
      <c r="B680" s="26"/>
    </row>
    <row r="681">
      <c r="A681" s="26"/>
      <c r="B681" s="26"/>
    </row>
    <row r="682">
      <c r="A682" s="26"/>
      <c r="B682" s="26"/>
    </row>
    <row r="683">
      <c r="A683" s="26"/>
      <c r="B683" s="26"/>
    </row>
    <row r="684">
      <c r="A684" s="26"/>
      <c r="B684" s="26"/>
    </row>
    <row r="685">
      <c r="A685" s="26"/>
      <c r="B685" s="26"/>
    </row>
    <row r="686">
      <c r="A686" s="26"/>
      <c r="B686" s="26"/>
    </row>
    <row r="687">
      <c r="A687" s="26"/>
      <c r="B687" s="26"/>
    </row>
    <row r="688">
      <c r="A688" s="26"/>
      <c r="B688" s="26"/>
    </row>
    <row r="689">
      <c r="A689" s="26"/>
      <c r="B689" s="26"/>
    </row>
    <row r="690">
      <c r="A690" s="26"/>
      <c r="B690" s="26"/>
    </row>
    <row r="691">
      <c r="A691" s="26"/>
      <c r="B691" s="26"/>
    </row>
    <row r="692">
      <c r="A692" s="26"/>
      <c r="B692" s="26"/>
    </row>
    <row r="693">
      <c r="A693" s="26"/>
      <c r="B693" s="26"/>
    </row>
    <row r="694">
      <c r="A694" s="26"/>
      <c r="B694" s="26"/>
    </row>
    <row r="695">
      <c r="A695" s="26"/>
      <c r="B695" s="26"/>
    </row>
    <row r="696">
      <c r="A696" s="26"/>
      <c r="B696" s="26"/>
    </row>
    <row r="697">
      <c r="A697" s="26"/>
      <c r="B697" s="26"/>
    </row>
    <row r="698">
      <c r="A698" s="26"/>
      <c r="B698" s="26"/>
    </row>
    <row r="699">
      <c r="A699" s="26"/>
      <c r="B699" s="26"/>
    </row>
    <row r="700">
      <c r="A700" s="26"/>
      <c r="B700" s="26"/>
    </row>
    <row r="701">
      <c r="A701" s="26"/>
      <c r="B701" s="26"/>
    </row>
    <row r="702">
      <c r="A702" s="26"/>
      <c r="B702" s="26"/>
    </row>
    <row r="703">
      <c r="A703" s="26"/>
      <c r="B703" s="26"/>
    </row>
    <row r="704">
      <c r="A704" s="26"/>
      <c r="B704" s="26"/>
    </row>
    <row r="705">
      <c r="A705" s="26"/>
      <c r="B705" s="26"/>
    </row>
    <row r="706">
      <c r="A706" s="26"/>
      <c r="B706" s="26"/>
    </row>
    <row r="707">
      <c r="A707" s="26"/>
      <c r="B707" s="26"/>
    </row>
    <row r="708">
      <c r="A708" s="26"/>
      <c r="B708" s="26"/>
    </row>
    <row r="709">
      <c r="A709" s="26"/>
      <c r="B709" s="26"/>
    </row>
    <row r="710">
      <c r="A710" s="26"/>
      <c r="B710" s="26"/>
    </row>
    <row r="711">
      <c r="A711" s="26"/>
      <c r="B711" s="26"/>
    </row>
    <row r="712">
      <c r="A712" s="26"/>
      <c r="B712" s="26"/>
    </row>
    <row r="713">
      <c r="A713" s="26"/>
      <c r="B713" s="26"/>
    </row>
    <row r="714">
      <c r="A714" s="26"/>
      <c r="B714" s="26"/>
    </row>
    <row r="715">
      <c r="A715" s="26"/>
      <c r="B715" s="26"/>
    </row>
    <row r="716">
      <c r="A716" s="26"/>
      <c r="B716" s="26"/>
    </row>
    <row r="717">
      <c r="A717" s="26"/>
      <c r="B717" s="26"/>
    </row>
    <row r="718">
      <c r="A718" s="26"/>
      <c r="B718" s="26"/>
    </row>
    <row r="719">
      <c r="A719" s="26"/>
      <c r="B719" s="26"/>
    </row>
    <row r="720">
      <c r="A720" s="26"/>
      <c r="B720" s="26"/>
    </row>
    <row r="721">
      <c r="A721" s="26"/>
      <c r="B721" s="26"/>
    </row>
    <row r="722">
      <c r="A722" s="26"/>
      <c r="B722" s="26"/>
    </row>
    <row r="723">
      <c r="A723" s="26"/>
      <c r="B723" s="26"/>
    </row>
    <row r="724">
      <c r="A724" s="26"/>
      <c r="B724" s="26"/>
    </row>
    <row r="725">
      <c r="A725" s="26"/>
      <c r="B725" s="26"/>
    </row>
    <row r="726">
      <c r="A726" s="26"/>
      <c r="B726" s="26"/>
    </row>
    <row r="727">
      <c r="A727" s="26"/>
      <c r="B727" s="26"/>
    </row>
    <row r="728">
      <c r="A728" s="26"/>
      <c r="B728" s="26"/>
    </row>
    <row r="729">
      <c r="A729" s="26"/>
      <c r="B729" s="26"/>
    </row>
    <row r="730">
      <c r="A730" s="26"/>
      <c r="B730" s="26"/>
    </row>
    <row r="731">
      <c r="A731" s="26"/>
      <c r="B731" s="26"/>
    </row>
    <row r="732">
      <c r="A732" s="26"/>
      <c r="B732" s="26"/>
    </row>
    <row r="733">
      <c r="A733" s="26"/>
      <c r="B733" s="26"/>
    </row>
    <row r="734">
      <c r="A734" s="26"/>
      <c r="B734" s="26"/>
    </row>
    <row r="735">
      <c r="A735" s="26"/>
      <c r="B735" s="26"/>
    </row>
    <row r="736">
      <c r="A736" s="26"/>
      <c r="B736" s="26"/>
    </row>
    <row r="737">
      <c r="A737" s="26"/>
      <c r="B737" s="26"/>
    </row>
    <row r="738">
      <c r="A738" s="26"/>
      <c r="B738" s="26"/>
    </row>
    <row r="739">
      <c r="A739" s="26"/>
      <c r="B739" s="26"/>
    </row>
    <row r="740">
      <c r="A740" s="26"/>
      <c r="B740" s="26"/>
    </row>
    <row r="741">
      <c r="A741" s="26"/>
      <c r="B741" s="26"/>
    </row>
    <row r="742">
      <c r="A742" s="26"/>
      <c r="B742" s="26"/>
    </row>
    <row r="743">
      <c r="A743" s="26"/>
      <c r="B743" s="26"/>
    </row>
    <row r="744">
      <c r="A744" s="26"/>
      <c r="B744" s="26"/>
    </row>
    <row r="745">
      <c r="A745" s="26"/>
      <c r="B745" s="26"/>
    </row>
    <row r="746">
      <c r="A746" s="26"/>
      <c r="B746" s="26"/>
    </row>
    <row r="747">
      <c r="A747" s="26"/>
      <c r="B747" s="26"/>
    </row>
    <row r="748">
      <c r="A748" s="26"/>
      <c r="B748" s="26"/>
    </row>
    <row r="749">
      <c r="A749" s="26"/>
      <c r="B749" s="26"/>
    </row>
    <row r="750">
      <c r="A750" s="26"/>
      <c r="B750" s="26"/>
    </row>
    <row r="751">
      <c r="A751" s="26"/>
      <c r="B751" s="26"/>
    </row>
    <row r="752">
      <c r="A752" s="26"/>
      <c r="B752" s="26"/>
    </row>
    <row r="753">
      <c r="A753" s="26"/>
      <c r="B753" s="26"/>
    </row>
    <row r="754">
      <c r="A754" s="26"/>
      <c r="B754" s="26"/>
    </row>
    <row r="755">
      <c r="A755" s="26"/>
      <c r="B755" s="26"/>
    </row>
    <row r="756">
      <c r="A756" s="26"/>
      <c r="B756" s="26"/>
    </row>
    <row r="757">
      <c r="A757" s="26"/>
      <c r="B757" s="26"/>
    </row>
    <row r="758">
      <c r="A758" s="26"/>
      <c r="B758" s="26"/>
    </row>
    <row r="759">
      <c r="A759" s="26"/>
      <c r="B759" s="26"/>
    </row>
    <row r="760">
      <c r="A760" s="26"/>
      <c r="B760" s="26"/>
    </row>
    <row r="761">
      <c r="A761" s="26"/>
      <c r="B761" s="26"/>
    </row>
    <row r="762">
      <c r="A762" s="26"/>
      <c r="B762" s="26"/>
    </row>
    <row r="763">
      <c r="A763" s="26"/>
      <c r="B763" s="26"/>
    </row>
    <row r="764">
      <c r="A764" s="26"/>
      <c r="B764" s="26"/>
    </row>
    <row r="765">
      <c r="A765" s="26"/>
      <c r="B765" s="26"/>
    </row>
    <row r="766">
      <c r="A766" s="26"/>
      <c r="B766" s="26"/>
    </row>
    <row r="767">
      <c r="A767" s="26"/>
      <c r="B767" s="26"/>
    </row>
    <row r="768">
      <c r="A768" s="26"/>
      <c r="B768" s="26"/>
    </row>
    <row r="769">
      <c r="A769" s="26"/>
      <c r="B769" s="26"/>
    </row>
    <row r="770">
      <c r="A770" s="26"/>
      <c r="B770" s="26"/>
    </row>
    <row r="771">
      <c r="A771" s="26"/>
      <c r="B771" s="26"/>
    </row>
    <row r="772">
      <c r="A772" s="26"/>
      <c r="B772" s="26"/>
    </row>
    <row r="773">
      <c r="A773" s="26"/>
      <c r="B773" s="26"/>
    </row>
    <row r="774">
      <c r="A774" s="26"/>
      <c r="B774" s="26"/>
    </row>
    <row r="775">
      <c r="A775" s="26"/>
      <c r="B775" s="26"/>
    </row>
    <row r="776">
      <c r="A776" s="26"/>
      <c r="B776" s="26"/>
    </row>
    <row r="777">
      <c r="A777" s="26"/>
      <c r="B777" s="26"/>
    </row>
    <row r="778">
      <c r="A778" s="26"/>
      <c r="B778" s="26"/>
    </row>
    <row r="779">
      <c r="A779" s="26"/>
      <c r="B779" s="26"/>
    </row>
    <row r="780">
      <c r="A780" s="26"/>
      <c r="B780" s="26"/>
    </row>
    <row r="781">
      <c r="A781" s="26"/>
      <c r="B781" s="26"/>
    </row>
    <row r="782">
      <c r="A782" s="26"/>
      <c r="B782" s="26"/>
    </row>
    <row r="783">
      <c r="A783" s="26"/>
      <c r="B783" s="26"/>
    </row>
    <row r="784">
      <c r="A784" s="26"/>
      <c r="B784" s="26"/>
    </row>
    <row r="785">
      <c r="A785" s="26"/>
      <c r="B785" s="26"/>
    </row>
    <row r="786">
      <c r="A786" s="26"/>
      <c r="B786" s="26"/>
    </row>
    <row r="787">
      <c r="A787" s="26"/>
      <c r="B787" s="26"/>
    </row>
    <row r="788">
      <c r="A788" s="26"/>
      <c r="B788" s="26"/>
    </row>
    <row r="789">
      <c r="A789" s="26"/>
      <c r="B789" s="26"/>
    </row>
    <row r="790">
      <c r="A790" s="26"/>
      <c r="B790" s="26"/>
    </row>
    <row r="791">
      <c r="A791" s="26"/>
      <c r="B791" s="26"/>
    </row>
    <row r="792">
      <c r="A792" s="26"/>
      <c r="B792" s="26"/>
    </row>
    <row r="793">
      <c r="A793" s="26"/>
      <c r="B793" s="26"/>
    </row>
    <row r="794">
      <c r="A794" s="26"/>
      <c r="B794" s="26"/>
    </row>
    <row r="795">
      <c r="A795" s="26"/>
      <c r="B795" s="26"/>
    </row>
    <row r="796">
      <c r="A796" s="26"/>
      <c r="B796" s="26"/>
    </row>
    <row r="797">
      <c r="A797" s="26"/>
      <c r="B797" s="26"/>
    </row>
    <row r="798">
      <c r="A798" s="26"/>
      <c r="B798" s="26"/>
    </row>
    <row r="799">
      <c r="A799" s="26"/>
      <c r="B799" s="26"/>
    </row>
    <row r="800">
      <c r="A800" s="26"/>
      <c r="B800" s="26"/>
    </row>
    <row r="801">
      <c r="A801" s="26"/>
      <c r="B801" s="26"/>
    </row>
    <row r="802">
      <c r="A802" s="26"/>
      <c r="B802" s="26"/>
    </row>
    <row r="803">
      <c r="A803" s="26"/>
      <c r="B803" s="26"/>
    </row>
    <row r="804">
      <c r="A804" s="26"/>
      <c r="B804" s="26"/>
    </row>
    <row r="805">
      <c r="A805" s="26"/>
      <c r="B805" s="26"/>
    </row>
    <row r="806">
      <c r="A806" s="26"/>
      <c r="B806" s="26"/>
    </row>
    <row r="807">
      <c r="A807" s="26"/>
      <c r="B807" s="26"/>
    </row>
    <row r="808">
      <c r="A808" s="26"/>
      <c r="B808" s="26"/>
    </row>
    <row r="809">
      <c r="A809" s="26"/>
      <c r="B809" s="26"/>
    </row>
    <row r="810">
      <c r="A810" s="26"/>
      <c r="B810" s="26"/>
    </row>
    <row r="811">
      <c r="A811" s="26"/>
      <c r="B811" s="26"/>
    </row>
    <row r="812">
      <c r="A812" s="26"/>
      <c r="B812" s="26"/>
    </row>
    <row r="813">
      <c r="A813" s="26"/>
      <c r="B813" s="26"/>
    </row>
    <row r="814">
      <c r="A814" s="26"/>
      <c r="B814" s="26"/>
    </row>
    <row r="815">
      <c r="A815" s="26"/>
      <c r="B815" s="26"/>
    </row>
    <row r="816">
      <c r="A816" s="26"/>
      <c r="B816" s="26"/>
    </row>
    <row r="817">
      <c r="A817" s="26"/>
      <c r="B817" s="26"/>
    </row>
    <row r="818">
      <c r="A818" s="26"/>
      <c r="B818" s="26"/>
    </row>
    <row r="819">
      <c r="A819" s="26"/>
      <c r="B819" s="26"/>
    </row>
    <row r="820">
      <c r="A820" s="26"/>
      <c r="B820" s="26"/>
    </row>
    <row r="821">
      <c r="A821" s="26"/>
      <c r="B821" s="26"/>
    </row>
    <row r="822">
      <c r="A822" s="26"/>
      <c r="B822" s="26"/>
    </row>
    <row r="823">
      <c r="A823" s="26"/>
      <c r="B823" s="26"/>
    </row>
    <row r="824">
      <c r="A824" s="26"/>
      <c r="B824" s="26"/>
    </row>
    <row r="825">
      <c r="A825" s="26"/>
      <c r="B825" s="26"/>
    </row>
    <row r="826">
      <c r="A826" s="26"/>
      <c r="B826" s="26"/>
    </row>
    <row r="827">
      <c r="A827" s="26"/>
      <c r="B827" s="26"/>
    </row>
    <row r="828">
      <c r="A828" s="26"/>
      <c r="B828" s="26"/>
    </row>
    <row r="829">
      <c r="A829" s="26"/>
      <c r="B829" s="26"/>
    </row>
    <row r="830">
      <c r="A830" s="26"/>
      <c r="B830" s="26"/>
    </row>
    <row r="831">
      <c r="A831" s="26"/>
      <c r="B831" s="26"/>
    </row>
    <row r="832">
      <c r="A832" s="26"/>
      <c r="B832" s="26"/>
    </row>
    <row r="833">
      <c r="A833" s="26"/>
      <c r="B833" s="26"/>
    </row>
    <row r="834">
      <c r="A834" s="26"/>
      <c r="B834" s="26"/>
    </row>
    <row r="835">
      <c r="A835" s="26"/>
      <c r="B835" s="26"/>
    </row>
    <row r="836">
      <c r="A836" s="26"/>
      <c r="B836" s="26"/>
    </row>
    <row r="837">
      <c r="A837" s="26"/>
      <c r="B837" s="26"/>
    </row>
    <row r="838">
      <c r="A838" s="26"/>
      <c r="B838" s="26"/>
    </row>
    <row r="839">
      <c r="A839" s="26"/>
      <c r="B839" s="26"/>
    </row>
    <row r="840">
      <c r="A840" s="26"/>
      <c r="B840" s="26"/>
    </row>
    <row r="841">
      <c r="A841" s="26"/>
      <c r="B841" s="26"/>
    </row>
    <row r="842">
      <c r="A842" s="26"/>
      <c r="B842" s="26"/>
    </row>
    <row r="843">
      <c r="A843" s="26"/>
      <c r="B843" s="26"/>
    </row>
    <row r="844">
      <c r="A844" s="26"/>
      <c r="B844" s="26"/>
    </row>
    <row r="845">
      <c r="A845" s="26"/>
      <c r="B845" s="26"/>
    </row>
    <row r="846">
      <c r="A846" s="26"/>
      <c r="B846" s="26"/>
    </row>
    <row r="847">
      <c r="A847" s="26"/>
      <c r="B847" s="26"/>
    </row>
    <row r="848">
      <c r="A848" s="26"/>
      <c r="B848" s="26"/>
    </row>
    <row r="849">
      <c r="A849" s="26"/>
      <c r="B849" s="26"/>
    </row>
    <row r="850">
      <c r="A850" s="26"/>
      <c r="B850" s="26"/>
    </row>
    <row r="851">
      <c r="A851" s="26"/>
      <c r="B851" s="26"/>
    </row>
    <row r="852">
      <c r="A852" s="26"/>
      <c r="B852" s="26"/>
    </row>
    <row r="853">
      <c r="A853" s="26"/>
      <c r="B853" s="26"/>
    </row>
    <row r="854">
      <c r="A854" s="26"/>
      <c r="B854" s="26"/>
    </row>
    <row r="855">
      <c r="A855" s="26"/>
      <c r="B855" s="26"/>
    </row>
    <row r="856">
      <c r="A856" s="26"/>
      <c r="B856" s="26"/>
    </row>
    <row r="857">
      <c r="A857" s="26"/>
      <c r="B857" s="26"/>
    </row>
    <row r="858">
      <c r="A858" s="26"/>
      <c r="B858" s="26"/>
    </row>
    <row r="859">
      <c r="A859" s="26"/>
      <c r="B859" s="26"/>
    </row>
    <row r="860">
      <c r="A860" s="26"/>
      <c r="B860" s="26"/>
    </row>
    <row r="861">
      <c r="A861" s="26"/>
      <c r="B861" s="26"/>
    </row>
    <row r="862">
      <c r="A862" s="26"/>
      <c r="B862" s="26"/>
    </row>
    <row r="863">
      <c r="A863" s="26"/>
      <c r="B863" s="26"/>
    </row>
    <row r="864">
      <c r="A864" s="26"/>
      <c r="B864" s="26"/>
    </row>
    <row r="865">
      <c r="A865" s="26"/>
      <c r="B865" s="26"/>
    </row>
    <row r="866">
      <c r="A866" s="26"/>
      <c r="B866" s="26"/>
    </row>
    <row r="867">
      <c r="A867" s="26"/>
      <c r="B867" s="26"/>
    </row>
    <row r="868">
      <c r="A868" s="26"/>
      <c r="B868" s="26"/>
    </row>
    <row r="869">
      <c r="A869" s="26"/>
      <c r="B869" s="26"/>
    </row>
    <row r="870">
      <c r="A870" s="26"/>
      <c r="B870" s="26"/>
    </row>
    <row r="871">
      <c r="A871" s="26"/>
      <c r="B871" s="26"/>
    </row>
    <row r="872">
      <c r="A872" s="26"/>
      <c r="B872" s="26"/>
    </row>
    <row r="873">
      <c r="A873" s="26"/>
      <c r="B873" s="26"/>
    </row>
    <row r="874">
      <c r="A874" s="26"/>
      <c r="B874" s="26"/>
    </row>
    <row r="875">
      <c r="A875" s="26"/>
      <c r="B875" s="26"/>
    </row>
    <row r="876">
      <c r="A876" s="26"/>
      <c r="B876" s="26"/>
    </row>
    <row r="877">
      <c r="A877" s="26"/>
      <c r="B877" s="26"/>
    </row>
    <row r="878">
      <c r="A878" s="26"/>
      <c r="B878" s="26"/>
    </row>
    <row r="879">
      <c r="A879" s="26"/>
      <c r="B879" s="26"/>
    </row>
    <row r="880">
      <c r="A880" s="26"/>
      <c r="B880" s="26"/>
    </row>
    <row r="881">
      <c r="A881" s="26"/>
      <c r="B881" s="26"/>
    </row>
    <row r="882">
      <c r="A882" s="26"/>
      <c r="B882" s="26"/>
    </row>
    <row r="883">
      <c r="A883" s="26"/>
      <c r="B883" s="26"/>
    </row>
    <row r="884">
      <c r="A884" s="26"/>
      <c r="B884" s="26"/>
    </row>
    <row r="885">
      <c r="A885" s="26"/>
      <c r="B885" s="26"/>
    </row>
    <row r="886">
      <c r="A886" s="26"/>
      <c r="B886" s="26"/>
    </row>
    <row r="887">
      <c r="A887" s="26"/>
      <c r="B887" s="26"/>
    </row>
    <row r="888">
      <c r="A888" s="26"/>
      <c r="B888" s="26"/>
    </row>
    <row r="889">
      <c r="A889" s="26"/>
      <c r="B889" s="26"/>
    </row>
    <row r="890">
      <c r="A890" s="26"/>
      <c r="B890" s="26"/>
    </row>
    <row r="891">
      <c r="A891" s="26"/>
      <c r="B891" s="26"/>
    </row>
    <row r="892">
      <c r="A892" s="26"/>
      <c r="B892" s="26"/>
    </row>
    <row r="893">
      <c r="A893" s="26"/>
      <c r="B893" s="26"/>
    </row>
    <row r="894">
      <c r="A894" s="26"/>
      <c r="B894" s="26"/>
    </row>
    <row r="895">
      <c r="A895" s="26"/>
      <c r="B895" s="26"/>
    </row>
    <row r="896">
      <c r="A896" s="26"/>
      <c r="B896" s="26"/>
    </row>
    <row r="897">
      <c r="A897" s="26"/>
      <c r="B897" s="26"/>
    </row>
    <row r="898">
      <c r="A898" s="26"/>
      <c r="B898" s="26"/>
    </row>
    <row r="899">
      <c r="A899" s="26"/>
      <c r="B899" s="26"/>
    </row>
    <row r="900">
      <c r="A900" s="26"/>
      <c r="B900" s="26"/>
    </row>
    <row r="901">
      <c r="A901" s="26"/>
      <c r="B901" s="26"/>
    </row>
    <row r="902">
      <c r="A902" s="26"/>
      <c r="B902" s="26"/>
    </row>
    <row r="903">
      <c r="A903" s="26"/>
      <c r="B903" s="26"/>
    </row>
    <row r="904">
      <c r="A904" s="26"/>
      <c r="B904" s="26"/>
    </row>
    <row r="905">
      <c r="A905" s="26"/>
      <c r="B905" s="26"/>
    </row>
    <row r="906">
      <c r="A906" s="26"/>
      <c r="B906" s="26"/>
    </row>
    <row r="907">
      <c r="A907" s="26"/>
      <c r="B907" s="26"/>
    </row>
    <row r="908">
      <c r="A908" s="26"/>
      <c r="B908" s="26"/>
    </row>
    <row r="909">
      <c r="A909" s="26"/>
      <c r="B909" s="26"/>
    </row>
    <row r="910">
      <c r="A910" s="26"/>
      <c r="B910" s="26"/>
    </row>
    <row r="911">
      <c r="A911" s="26"/>
      <c r="B911" s="26"/>
    </row>
    <row r="912">
      <c r="A912" s="26"/>
      <c r="B912" s="26"/>
    </row>
    <row r="913">
      <c r="A913" s="26"/>
      <c r="B913" s="26"/>
    </row>
    <row r="914">
      <c r="A914" s="26"/>
      <c r="B914" s="26"/>
    </row>
    <row r="915">
      <c r="A915" s="26"/>
      <c r="B915" s="26"/>
    </row>
    <row r="916">
      <c r="A916" s="26"/>
      <c r="B916" s="26"/>
    </row>
    <row r="917">
      <c r="A917" s="26"/>
      <c r="B917" s="26"/>
    </row>
    <row r="918">
      <c r="A918" s="26"/>
      <c r="B918" s="26"/>
    </row>
    <row r="919">
      <c r="A919" s="26"/>
      <c r="B919" s="26"/>
    </row>
    <row r="920">
      <c r="A920" s="26"/>
      <c r="B920" s="26"/>
    </row>
    <row r="921">
      <c r="A921" s="26"/>
      <c r="B921" s="26"/>
    </row>
    <row r="922">
      <c r="A922" s="26"/>
      <c r="B922" s="26"/>
    </row>
    <row r="923">
      <c r="A923" s="26"/>
      <c r="B923" s="26"/>
    </row>
    <row r="924">
      <c r="A924" s="26"/>
      <c r="B924" s="26"/>
    </row>
    <row r="925">
      <c r="A925" s="26"/>
      <c r="B925" s="26"/>
    </row>
    <row r="926">
      <c r="A926" s="26"/>
      <c r="B926" s="26"/>
    </row>
    <row r="927">
      <c r="A927" s="26"/>
      <c r="B927" s="26"/>
    </row>
    <row r="928">
      <c r="A928" s="26"/>
      <c r="B928" s="26"/>
    </row>
    <row r="929">
      <c r="A929" s="26"/>
      <c r="B929" s="26"/>
    </row>
    <row r="930">
      <c r="A930" s="26"/>
      <c r="B930" s="26"/>
    </row>
    <row r="931">
      <c r="A931" s="26"/>
      <c r="B931" s="26"/>
    </row>
    <row r="932">
      <c r="A932" s="26"/>
      <c r="B932" s="26"/>
    </row>
    <row r="933">
      <c r="A933" s="26"/>
      <c r="B933" s="26"/>
    </row>
    <row r="934">
      <c r="A934" s="26"/>
      <c r="B934" s="26"/>
    </row>
    <row r="935">
      <c r="A935" s="26"/>
      <c r="B935" s="26"/>
    </row>
    <row r="936">
      <c r="A936" s="26"/>
      <c r="B936" s="26"/>
    </row>
    <row r="937">
      <c r="A937" s="26"/>
      <c r="B937" s="26"/>
    </row>
    <row r="938">
      <c r="A938" s="26"/>
      <c r="B938" s="26"/>
    </row>
    <row r="939">
      <c r="A939" s="26"/>
      <c r="B939" s="26"/>
    </row>
    <row r="940">
      <c r="A940" s="26"/>
      <c r="B940" s="26"/>
    </row>
    <row r="941">
      <c r="A941" s="26"/>
      <c r="B941" s="26"/>
    </row>
    <row r="942">
      <c r="A942" s="26"/>
      <c r="B942" s="26"/>
    </row>
    <row r="943">
      <c r="A943" s="26"/>
      <c r="B943" s="26"/>
    </row>
    <row r="944">
      <c r="A944" s="26"/>
      <c r="B944" s="26"/>
    </row>
    <row r="945">
      <c r="A945" s="26"/>
      <c r="B945" s="26"/>
    </row>
    <row r="946">
      <c r="A946" s="26"/>
      <c r="B946" s="26"/>
    </row>
    <row r="947">
      <c r="A947" s="26"/>
      <c r="B947" s="26"/>
    </row>
    <row r="948">
      <c r="A948" s="26"/>
      <c r="B948" s="26"/>
    </row>
    <row r="949">
      <c r="A949" s="26"/>
      <c r="B949" s="26"/>
    </row>
    <row r="950">
      <c r="A950" s="26"/>
      <c r="B950" s="26"/>
    </row>
    <row r="951">
      <c r="A951" s="26"/>
      <c r="B951" s="26"/>
    </row>
    <row r="952">
      <c r="A952" s="26"/>
      <c r="B952" s="26"/>
    </row>
    <row r="953">
      <c r="A953" s="26"/>
      <c r="B953" s="26"/>
    </row>
    <row r="954">
      <c r="A954" s="26"/>
      <c r="B954" s="26"/>
    </row>
    <row r="955">
      <c r="A955" s="26"/>
      <c r="B955" s="26"/>
    </row>
    <row r="956">
      <c r="A956" s="26"/>
      <c r="B956" s="26"/>
    </row>
    <row r="957">
      <c r="A957" s="26"/>
      <c r="B957" s="26"/>
    </row>
    <row r="958">
      <c r="A958" s="26"/>
      <c r="B958" s="26"/>
    </row>
    <row r="959">
      <c r="A959" s="26"/>
      <c r="B959" s="26"/>
    </row>
    <row r="960">
      <c r="A960" s="26"/>
      <c r="B960" s="26"/>
    </row>
    <row r="961">
      <c r="A961" s="26"/>
      <c r="B961" s="26"/>
    </row>
    <row r="962">
      <c r="A962" s="26"/>
      <c r="B962" s="26"/>
    </row>
    <row r="963">
      <c r="A963" s="26"/>
      <c r="B963" s="26"/>
    </row>
    <row r="964">
      <c r="A964" s="26"/>
      <c r="B964" s="26"/>
    </row>
    <row r="965">
      <c r="A965" s="26"/>
      <c r="B965" s="26"/>
    </row>
    <row r="966">
      <c r="A966" s="26"/>
      <c r="B966" s="26"/>
    </row>
    <row r="967">
      <c r="A967" s="26"/>
      <c r="B967" s="26"/>
    </row>
    <row r="968">
      <c r="A968" s="26"/>
      <c r="B968" s="26"/>
    </row>
    <row r="969">
      <c r="A969" s="26"/>
      <c r="B969" s="26"/>
    </row>
    <row r="970">
      <c r="A970" s="26"/>
      <c r="B970" s="26"/>
    </row>
    <row r="971">
      <c r="A971" s="26"/>
      <c r="B971" s="26"/>
    </row>
    <row r="972">
      <c r="A972" s="26"/>
      <c r="B972" s="26"/>
    </row>
    <row r="973">
      <c r="A973" s="26"/>
      <c r="B973" s="26"/>
    </row>
    <row r="974">
      <c r="A974" s="26"/>
      <c r="B974" s="26"/>
    </row>
    <row r="975">
      <c r="A975" s="26"/>
      <c r="B975" s="26"/>
    </row>
    <row r="976">
      <c r="A976" s="26"/>
      <c r="B976" s="26"/>
    </row>
    <row r="977">
      <c r="A977" s="26"/>
      <c r="B977" s="26"/>
    </row>
    <row r="978">
      <c r="A978" s="26"/>
      <c r="B978" s="26"/>
    </row>
    <row r="979">
      <c r="A979" s="26"/>
      <c r="B979" s="26"/>
    </row>
    <row r="980">
      <c r="A980" s="26"/>
      <c r="B980" s="26"/>
    </row>
    <row r="981">
      <c r="A981" s="26"/>
      <c r="B981" s="26"/>
    </row>
    <row r="982">
      <c r="A982" s="26"/>
      <c r="B982" s="26"/>
    </row>
    <row r="983">
      <c r="A983" s="26"/>
      <c r="B983" s="26"/>
    </row>
    <row r="984">
      <c r="A984" s="26"/>
      <c r="B984" s="26"/>
    </row>
    <row r="985">
      <c r="A985" s="26"/>
      <c r="B985" s="26"/>
    </row>
    <row r="986">
      <c r="A986" s="26"/>
      <c r="B986" s="26"/>
    </row>
    <row r="987">
      <c r="A987" s="26"/>
      <c r="B987" s="26"/>
    </row>
    <row r="988">
      <c r="A988" s="26"/>
      <c r="B988" s="26"/>
    </row>
    <row r="989">
      <c r="A989" s="26"/>
      <c r="B989" s="26"/>
    </row>
    <row r="990">
      <c r="A990" s="26"/>
      <c r="B990" s="26"/>
    </row>
    <row r="991">
      <c r="A991" s="26"/>
      <c r="B991" s="26"/>
    </row>
    <row r="992">
      <c r="A992" s="26"/>
      <c r="B992" s="26"/>
    </row>
    <row r="993">
      <c r="A993" s="26"/>
      <c r="B993" s="26"/>
    </row>
    <row r="994">
      <c r="A994" s="26"/>
      <c r="B994" s="26"/>
    </row>
    <row r="995">
      <c r="A995" s="26"/>
      <c r="B995" s="26"/>
    </row>
    <row r="996">
      <c r="A996" s="26"/>
      <c r="B996" s="26"/>
    </row>
    <row r="997">
      <c r="A997" s="26"/>
      <c r="B997" s="26"/>
    </row>
    <row r="998">
      <c r="A998" s="26"/>
      <c r="B998" s="26"/>
    </row>
    <row r="999">
      <c r="A999" s="26"/>
      <c r="B999" s="26"/>
    </row>
  </sheetData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  <hyperlink r:id="rId11" ref="F7"/>
    <hyperlink r:id="rId12" ref="G7"/>
    <hyperlink r:id="rId13" ref="F8"/>
    <hyperlink r:id="rId14" ref="G8"/>
    <hyperlink r:id="rId15" ref="F9"/>
    <hyperlink r:id="rId16" ref="G9"/>
    <hyperlink r:id="rId17" ref="F10"/>
    <hyperlink r:id="rId18" ref="G10"/>
    <hyperlink r:id="rId19" ref="F11"/>
    <hyperlink r:id="rId20" ref="G11"/>
    <hyperlink r:id="rId21" ref="F12"/>
    <hyperlink r:id="rId22" ref="G12"/>
    <hyperlink r:id="rId23" ref="F13"/>
    <hyperlink r:id="rId24" ref="G13"/>
    <hyperlink r:id="rId25" ref="F14"/>
    <hyperlink r:id="rId26" ref="G14"/>
    <hyperlink r:id="rId27" ref="F15"/>
    <hyperlink r:id="rId28" ref="G15"/>
    <hyperlink r:id="rId29" ref="F16"/>
    <hyperlink r:id="rId30" ref="G16"/>
    <hyperlink r:id="rId31" ref="F17"/>
    <hyperlink r:id="rId32" ref="G17"/>
    <hyperlink r:id="rId33" ref="F18"/>
    <hyperlink r:id="rId34" ref="G18"/>
    <hyperlink r:id="rId35" ref="F19"/>
    <hyperlink r:id="rId36" ref="G19"/>
    <hyperlink r:id="rId37" ref="F20"/>
    <hyperlink r:id="rId38" ref="G20"/>
    <hyperlink r:id="rId39" ref="F21"/>
    <hyperlink r:id="rId40" ref="G21"/>
    <hyperlink r:id="rId41" ref="F22"/>
    <hyperlink r:id="rId42" ref="G22"/>
    <hyperlink r:id="rId43" ref="F23"/>
    <hyperlink r:id="rId44" ref="G23"/>
    <hyperlink r:id="rId45" ref="F24"/>
    <hyperlink r:id="rId46" ref="G24"/>
    <hyperlink r:id="rId47" ref="F25"/>
    <hyperlink r:id="rId48" ref="G25"/>
    <hyperlink r:id="rId49" ref="F26"/>
    <hyperlink r:id="rId50" ref="G26"/>
    <hyperlink r:id="rId51" ref="F27"/>
    <hyperlink r:id="rId52" ref="G27"/>
    <hyperlink r:id="rId53" ref="F28"/>
    <hyperlink r:id="rId54" ref="G28"/>
    <hyperlink r:id="rId55" ref="F29"/>
    <hyperlink r:id="rId56" ref="G29"/>
    <hyperlink r:id="rId57" ref="F30"/>
    <hyperlink r:id="rId58" ref="G30"/>
    <hyperlink r:id="rId59" ref="F31"/>
    <hyperlink r:id="rId60" ref="G31"/>
    <hyperlink r:id="rId61" ref="F32"/>
    <hyperlink r:id="rId62" ref="G32"/>
    <hyperlink r:id="rId63" ref="F33"/>
    <hyperlink r:id="rId64" ref="G33"/>
    <hyperlink r:id="rId65" ref="F34"/>
    <hyperlink r:id="rId66" ref="G34"/>
    <hyperlink r:id="rId67" ref="F35"/>
    <hyperlink r:id="rId68" ref="G35"/>
    <hyperlink r:id="rId69" ref="F36"/>
    <hyperlink r:id="rId70" ref="G36"/>
    <hyperlink r:id="rId71" ref="F37"/>
    <hyperlink r:id="rId72" ref="G37"/>
    <hyperlink r:id="rId73" ref="F38"/>
    <hyperlink r:id="rId74" ref="G38"/>
    <hyperlink r:id="rId75" ref="F39"/>
    <hyperlink r:id="rId76" ref="G39"/>
    <hyperlink r:id="rId77" ref="F40"/>
    <hyperlink r:id="rId78" ref="G40"/>
    <hyperlink r:id="rId79" ref="F41"/>
    <hyperlink r:id="rId80" ref="G41"/>
    <hyperlink r:id="rId81" ref="F42"/>
    <hyperlink r:id="rId82" ref="G42"/>
    <hyperlink r:id="rId83" ref="F43"/>
    <hyperlink r:id="rId84" ref="G43"/>
    <hyperlink r:id="rId85" ref="F44"/>
    <hyperlink r:id="rId86" ref="G44"/>
    <hyperlink r:id="rId87" ref="F45"/>
    <hyperlink r:id="rId88" ref="G45"/>
    <hyperlink r:id="rId89" ref="F46"/>
    <hyperlink r:id="rId90" ref="G46"/>
    <hyperlink r:id="rId91" ref="F47"/>
    <hyperlink r:id="rId92" ref="G47"/>
    <hyperlink r:id="rId93" ref="F48"/>
    <hyperlink r:id="rId94" ref="G48"/>
    <hyperlink r:id="rId95" ref="F49"/>
    <hyperlink r:id="rId96" ref="G49"/>
  </hyperlinks>
  <drawing r:id="rId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1.0"/>
    <col customWidth="1" min="3" max="3" width="32.38"/>
    <col customWidth="1" min="4" max="4" width="31.75"/>
    <col customWidth="1" min="5" max="5" width="8.38"/>
    <col customWidth="1" min="6" max="6" width="18.25"/>
    <col customWidth="1" min="7" max="7" width="138.75"/>
  </cols>
  <sheetData>
    <row r="1">
      <c r="A1" s="27" t="s">
        <v>198</v>
      </c>
      <c r="B1" s="2" t="s">
        <v>199</v>
      </c>
      <c r="C1" s="28" t="s">
        <v>200</v>
      </c>
      <c r="D1" s="3" t="s">
        <v>201</v>
      </c>
      <c r="E1" s="3" t="s">
        <v>202</v>
      </c>
      <c r="F1" s="3" t="s">
        <v>203</v>
      </c>
      <c r="G1" s="2" t="s">
        <v>204</v>
      </c>
    </row>
    <row r="2" ht="16.5" customHeight="1">
      <c r="A2" s="27" t="s">
        <v>205</v>
      </c>
      <c r="B2" s="27">
        <v>2.0</v>
      </c>
      <c r="C2" s="27" t="s">
        <v>206</v>
      </c>
      <c r="D2" s="27" t="s">
        <v>206</v>
      </c>
      <c r="E2" s="27" t="s">
        <v>207</v>
      </c>
      <c r="F2" s="29">
        <v>46046.12964840278</v>
      </c>
      <c r="G2" s="30" t="s">
        <v>74</v>
      </c>
    </row>
    <row r="3">
      <c r="F3" s="29"/>
      <c r="G3" s="26"/>
    </row>
    <row r="4">
      <c r="E4" s="29"/>
      <c r="G4" s="26"/>
    </row>
    <row r="5">
      <c r="E5" s="29"/>
      <c r="G5" s="26"/>
    </row>
    <row r="6">
      <c r="E6" s="29"/>
      <c r="G6" s="26"/>
    </row>
    <row r="7">
      <c r="E7" s="29"/>
      <c r="G7" s="26"/>
    </row>
    <row r="8">
      <c r="B8" s="26"/>
      <c r="G8" s="26"/>
    </row>
    <row r="9">
      <c r="B9" s="26"/>
      <c r="G9" s="26"/>
    </row>
    <row r="10">
      <c r="B10" s="26"/>
      <c r="G10" s="26"/>
    </row>
    <row r="11">
      <c r="B11" s="26"/>
      <c r="G11" s="26"/>
    </row>
    <row r="12">
      <c r="B12" s="26"/>
      <c r="G12" s="26"/>
    </row>
    <row r="13">
      <c r="B13" s="26"/>
      <c r="G13" s="26"/>
    </row>
    <row r="14">
      <c r="B14" s="26"/>
      <c r="G14" s="26"/>
    </row>
    <row r="15">
      <c r="B15" s="26"/>
      <c r="G15" s="26"/>
    </row>
    <row r="16">
      <c r="B16" s="26"/>
      <c r="G16" s="26"/>
    </row>
    <row r="17">
      <c r="B17" s="26"/>
      <c r="G17" s="26"/>
    </row>
    <row r="18">
      <c r="B18" s="26"/>
      <c r="G18" s="26"/>
    </row>
    <row r="19">
      <c r="B19" s="26"/>
      <c r="G19" s="26"/>
    </row>
    <row r="20">
      <c r="B20" s="26"/>
      <c r="G20" s="26"/>
    </row>
    <row r="21">
      <c r="B21" s="26"/>
      <c r="G21" s="26"/>
    </row>
    <row r="22">
      <c r="B22" s="26"/>
      <c r="G22" s="26"/>
    </row>
    <row r="23">
      <c r="B23" s="26"/>
      <c r="G23" s="26"/>
    </row>
    <row r="24">
      <c r="B24" s="26"/>
      <c r="G24" s="26"/>
    </row>
    <row r="25">
      <c r="B25" s="26"/>
      <c r="G25" s="26"/>
    </row>
    <row r="26">
      <c r="B26" s="26"/>
      <c r="G26" s="26"/>
    </row>
    <row r="27">
      <c r="B27" s="26"/>
      <c r="G27" s="26"/>
    </row>
    <row r="28">
      <c r="B28" s="26"/>
      <c r="G28" s="26"/>
    </row>
    <row r="29">
      <c r="B29" s="26"/>
      <c r="G29" s="26"/>
    </row>
    <row r="30">
      <c r="B30" s="26"/>
      <c r="G30" s="26"/>
    </row>
    <row r="31">
      <c r="B31" s="26"/>
      <c r="G31" s="26"/>
    </row>
    <row r="32">
      <c r="B32" s="26"/>
      <c r="G32" s="26"/>
    </row>
    <row r="33">
      <c r="B33" s="26"/>
      <c r="G33" s="26"/>
    </row>
    <row r="34">
      <c r="B34" s="26"/>
      <c r="G34" s="26"/>
    </row>
    <row r="35">
      <c r="B35" s="26"/>
      <c r="G35" s="26"/>
    </row>
    <row r="36">
      <c r="B36" s="26"/>
      <c r="G36" s="26"/>
    </row>
    <row r="37">
      <c r="B37" s="26"/>
      <c r="G37" s="26"/>
    </row>
    <row r="38">
      <c r="B38" s="26"/>
      <c r="G38" s="26"/>
    </row>
    <row r="39">
      <c r="B39" s="26"/>
      <c r="G39" s="26"/>
    </row>
    <row r="40">
      <c r="B40" s="26"/>
      <c r="G40" s="26"/>
    </row>
    <row r="41">
      <c r="B41" s="26"/>
      <c r="G41" s="26"/>
    </row>
    <row r="42">
      <c r="B42" s="26"/>
      <c r="G42" s="26"/>
    </row>
    <row r="43">
      <c r="B43" s="26"/>
      <c r="G43" s="26"/>
    </row>
    <row r="44">
      <c r="B44" s="26"/>
      <c r="G44" s="26"/>
    </row>
    <row r="45">
      <c r="B45" s="26"/>
      <c r="G45" s="26"/>
    </row>
    <row r="46">
      <c r="B46" s="26"/>
      <c r="G46" s="26"/>
    </row>
    <row r="47">
      <c r="B47" s="26"/>
      <c r="G47" s="26"/>
    </row>
    <row r="48">
      <c r="B48" s="26"/>
      <c r="G48" s="26"/>
    </row>
    <row r="49">
      <c r="B49" s="26"/>
      <c r="G49" s="26"/>
    </row>
    <row r="50">
      <c r="B50" s="26"/>
      <c r="G50" s="26"/>
    </row>
    <row r="51">
      <c r="B51" s="26"/>
      <c r="G51" s="26"/>
    </row>
    <row r="52">
      <c r="B52" s="26"/>
      <c r="G52" s="26"/>
    </row>
    <row r="53">
      <c r="B53" s="26"/>
      <c r="G53" s="26"/>
    </row>
    <row r="54">
      <c r="B54" s="26"/>
      <c r="G54" s="26"/>
    </row>
    <row r="55">
      <c r="B55" s="26"/>
      <c r="G55" s="26"/>
    </row>
    <row r="56">
      <c r="B56" s="26"/>
      <c r="G56" s="26"/>
    </row>
    <row r="57">
      <c r="B57" s="26"/>
      <c r="G57" s="26"/>
    </row>
    <row r="58">
      <c r="B58" s="26"/>
      <c r="G58" s="26"/>
    </row>
    <row r="59">
      <c r="B59" s="26"/>
      <c r="G59" s="26"/>
    </row>
    <row r="60">
      <c r="B60" s="26"/>
      <c r="G60" s="26"/>
    </row>
    <row r="61">
      <c r="B61" s="26"/>
      <c r="G61" s="26"/>
    </row>
    <row r="62">
      <c r="B62" s="26"/>
      <c r="G62" s="26"/>
    </row>
    <row r="63">
      <c r="B63" s="26"/>
      <c r="G63" s="26"/>
    </row>
    <row r="64">
      <c r="B64" s="26"/>
      <c r="G64" s="26"/>
    </row>
    <row r="65">
      <c r="B65" s="26"/>
      <c r="G65" s="26"/>
    </row>
    <row r="66">
      <c r="B66" s="26"/>
      <c r="G66" s="26"/>
    </row>
    <row r="67">
      <c r="B67" s="26"/>
      <c r="G67" s="26"/>
    </row>
    <row r="68">
      <c r="B68" s="26"/>
      <c r="G68" s="26"/>
    </row>
    <row r="69">
      <c r="B69" s="26"/>
      <c r="G69" s="26"/>
    </row>
    <row r="70">
      <c r="B70" s="26"/>
      <c r="G70" s="26"/>
    </row>
    <row r="71">
      <c r="B71" s="26"/>
      <c r="G71" s="26"/>
    </row>
    <row r="72">
      <c r="B72" s="26"/>
      <c r="G72" s="26"/>
    </row>
    <row r="73">
      <c r="B73" s="26"/>
      <c r="G73" s="26"/>
    </row>
    <row r="74">
      <c r="B74" s="26"/>
      <c r="G74" s="26"/>
    </row>
    <row r="75">
      <c r="B75" s="26"/>
      <c r="G75" s="26"/>
    </row>
    <row r="76">
      <c r="B76" s="26"/>
      <c r="G76" s="26"/>
    </row>
    <row r="77">
      <c r="B77" s="26"/>
      <c r="G77" s="26"/>
    </row>
    <row r="78">
      <c r="B78" s="26"/>
      <c r="G78" s="26"/>
    </row>
    <row r="79">
      <c r="B79" s="26"/>
      <c r="G79" s="26"/>
    </row>
    <row r="80">
      <c r="B80" s="26"/>
      <c r="G80" s="26"/>
    </row>
    <row r="81">
      <c r="B81" s="26"/>
      <c r="G81" s="26"/>
    </row>
    <row r="82">
      <c r="B82" s="26"/>
      <c r="G82" s="26"/>
    </row>
    <row r="83">
      <c r="B83" s="26"/>
      <c r="G83" s="26"/>
    </row>
    <row r="84">
      <c r="B84" s="26"/>
      <c r="G84" s="26"/>
    </row>
    <row r="85">
      <c r="B85" s="26"/>
      <c r="G85" s="26"/>
    </row>
    <row r="86">
      <c r="B86" s="26"/>
      <c r="G86" s="26"/>
    </row>
    <row r="87">
      <c r="B87" s="26"/>
      <c r="G87" s="26"/>
    </row>
    <row r="88">
      <c r="B88" s="26"/>
      <c r="G88" s="26"/>
    </row>
    <row r="89">
      <c r="B89" s="26"/>
      <c r="G89" s="26"/>
    </row>
    <row r="90">
      <c r="B90" s="26"/>
      <c r="G90" s="26"/>
    </row>
    <row r="91">
      <c r="B91" s="26"/>
      <c r="G91" s="26"/>
    </row>
    <row r="92">
      <c r="B92" s="26"/>
      <c r="G92" s="26"/>
    </row>
    <row r="93">
      <c r="B93" s="26"/>
      <c r="G93" s="26"/>
    </row>
    <row r="94">
      <c r="B94" s="26"/>
      <c r="G94" s="26"/>
    </row>
    <row r="95">
      <c r="B95" s="26"/>
      <c r="G95" s="26"/>
    </row>
    <row r="96">
      <c r="B96" s="26"/>
      <c r="G96" s="26"/>
    </row>
    <row r="97">
      <c r="B97" s="26"/>
      <c r="G97" s="26"/>
    </row>
    <row r="98">
      <c r="B98" s="26"/>
      <c r="G98" s="26"/>
    </row>
    <row r="99">
      <c r="B99" s="26"/>
      <c r="G99" s="26"/>
    </row>
    <row r="100">
      <c r="B100" s="26"/>
      <c r="G100" s="26"/>
    </row>
    <row r="101">
      <c r="B101" s="26"/>
      <c r="G101" s="26"/>
    </row>
    <row r="102">
      <c r="B102" s="26"/>
      <c r="G102" s="26"/>
    </row>
    <row r="103">
      <c r="B103" s="26"/>
      <c r="G103" s="26"/>
    </row>
    <row r="104">
      <c r="B104" s="26"/>
      <c r="G104" s="26"/>
    </row>
    <row r="105">
      <c r="B105" s="26"/>
      <c r="G105" s="26"/>
    </row>
    <row r="106">
      <c r="B106" s="26"/>
      <c r="G106" s="26"/>
    </row>
    <row r="107">
      <c r="B107" s="26"/>
      <c r="G107" s="26"/>
    </row>
    <row r="108">
      <c r="B108" s="26"/>
      <c r="G108" s="26"/>
    </row>
    <row r="109">
      <c r="B109" s="26"/>
      <c r="G109" s="26"/>
    </row>
    <row r="110">
      <c r="B110" s="26"/>
      <c r="G110" s="26"/>
    </row>
    <row r="111">
      <c r="B111" s="26"/>
      <c r="G111" s="26"/>
    </row>
    <row r="112">
      <c r="B112" s="26"/>
      <c r="G112" s="26"/>
    </row>
    <row r="113">
      <c r="B113" s="26"/>
      <c r="G113" s="26"/>
    </row>
    <row r="114">
      <c r="B114" s="26"/>
      <c r="G114" s="26"/>
    </row>
    <row r="115">
      <c r="B115" s="26"/>
      <c r="G115" s="26"/>
    </row>
    <row r="116">
      <c r="B116" s="26"/>
      <c r="G116" s="26"/>
    </row>
    <row r="117">
      <c r="B117" s="26"/>
      <c r="G117" s="26"/>
    </row>
    <row r="118">
      <c r="B118" s="26"/>
      <c r="G118" s="26"/>
    </row>
    <row r="119">
      <c r="B119" s="26"/>
      <c r="G119" s="26"/>
    </row>
    <row r="120">
      <c r="B120" s="26"/>
      <c r="G120" s="26"/>
    </row>
    <row r="121">
      <c r="B121" s="26"/>
      <c r="G121" s="26"/>
    </row>
    <row r="122">
      <c r="B122" s="26"/>
      <c r="G122" s="26"/>
    </row>
    <row r="123">
      <c r="B123" s="26"/>
      <c r="G123" s="26"/>
    </row>
    <row r="124">
      <c r="B124" s="26"/>
      <c r="G124" s="26"/>
    </row>
    <row r="125">
      <c r="B125" s="26"/>
      <c r="G125" s="26"/>
    </row>
    <row r="126">
      <c r="B126" s="26"/>
      <c r="G126" s="26"/>
    </row>
    <row r="127">
      <c r="B127" s="26"/>
      <c r="G127" s="26"/>
    </row>
    <row r="128">
      <c r="B128" s="26"/>
      <c r="G128" s="26"/>
    </row>
    <row r="129">
      <c r="B129" s="26"/>
      <c r="G129" s="26"/>
    </row>
    <row r="130">
      <c r="B130" s="26"/>
      <c r="G130" s="26"/>
    </row>
    <row r="131">
      <c r="B131" s="26"/>
      <c r="G131" s="26"/>
    </row>
    <row r="132">
      <c r="B132" s="26"/>
      <c r="G132" s="26"/>
    </row>
    <row r="133">
      <c r="B133" s="26"/>
      <c r="G133" s="26"/>
    </row>
    <row r="134">
      <c r="B134" s="26"/>
      <c r="G134" s="26"/>
    </row>
    <row r="135">
      <c r="B135" s="26"/>
      <c r="G135" s="26"/>
    </row>
    <row r="136">
      <c r="B136" s="26"/>
      <c r="G136" s="26"/>
    </row>
    <row r="137">
      <c r="B137" s="26"/>
      <c r="G137" s="26"/>
    </row>
    <row r="138">
      <c r="B138" s="26"/>
      <c r="G138" s="26"/>
    </row>
    <row r="139">
      <c r="B139" s="26"/>
      <c r="G139" s="26"/>
    </row>
    <row r="140">
      <c r="B140" s="26"/>
      <c r="G140" s="26"/>
    </row>
    <row r="141">
      <c r="B141" s="26"/>
      <c r="G141" s="26"/>
    </row>
    <row r="142">
      <c r="B142" s="26"/>
      <c r="G142" s="26"/>
    </row>
    <row r="143">
      <c r="B143" s="26"/>
      <c r="G143" s="26"/>
    </row>
    <row r="144">
      <c r="B144" s="26"/>
      <c r="G144" s="26"/>
    </row>
    <row r="145">
      <c r="B145" s="26"/>
      <c r="G145" s="26"/>
    </row>
    <row r="146">
      <c r="B146" s="26"/>
      <c r="G146" s="26"/>
    </row>
    <row r="147">
      <c r="B147" s="26"/>
      <c r="G147" s="26"/>
    </row>
    <row r="148">
      <c r="B148" s="26"/>
      <c r="G148" s="26"/>
    </row>
    <row r="149">
      <c r="B149" s="26"/>
      <c r="G149" s="26"/>
    </row>
    <row r="150">
      <c r="B150" s="26"/>
      <c r="G150" s="26"/>
    </row>
    <row r="151">
      <c r="B151" s="26"/>
      <c r="G151" s="26"/>
    </row>
    <row r="152">
      <c r="B152" s="26"/>
      <c r="G152" s="26"/>
    </row>
    <row r="153">
      <c r="B153" s="26"/>
      <c r="G153" s="26"/>
    </row>
    <row r="154">
      <c r="B154" s="26"/>
      <c r="G154" s="26"/>
    </row>
    <row r="155">
      <c r="B155" s="26"/>
      <c r="G155" s="26"/>
    </row>
    <row r="156">
      <c r="B156" s="26"/>
      <c r="G156" s="26"/>
    </row>
    <row r="157">
      <c r="B157" s="26"/>
      <c r="G157" s="26"/>
    </row>
    <row r="158">
      <c r="B158" s="26"/>
      <c r="G158" s="26"/>
    </row>
    <row r="159">
      <c r="B159" s="26"/>
      <c r="G159" s="26"/>
    </row>
    <row r="160">
      <c r="B160" s="26"/>
      <c r="G160" s="26"/>
    </row>
    <row r="161">
      <c r="B161" s="26"/>
      <c r="G161" s="26"/>
    </row>
    <row r="162">
      <c r="B162" s="26"/>
      <c r="G162" s="26"/>
    </row>
    <row r="163">
      <c r="B163" s="26"/>
      <c r="G163" s="26"/>
    </row>
    <row r="164">
      <c r="B164" s="26"/>
      <c r="G164" s="26"/>
    </row>
    <row r="165">
      <c r="B165" s="26"/>
      <c r="G165" s="26"/>
    </row>
    <row r="166">
      <c r="B166" s="26"/>
      <c r="G166" s="26"/>
    </row>
    <row r="167">
      <c r="B167" s="26"/>
      <c r="G167" s="26"/>
    </row>
    <row r="168">
      <c r="B168" s="26"/>
      <c r="G168" s="26"/>
    </row>
    <row r="169">
      <c r="B169" s="26"/>
      <c r="G169" s="26"/>
    </row>
    <row r="170">
      <c r="B170" s="26"/>
      <c r="G170" s="26"/>
    </row>
    <row r="171">
      <c r="B171" s="26"/>
      <c r="G171" s="26"/>
    </row>
    <row r="172">
      <c r="B172" s="26"/>
      <c r="G172" s="26"/>
    </row>
    <row r="173">
      <c r="B173" s="26"/>
      <c r="G173" s="26"/>
    </row>
    <row r="174">
      <c r="B174" s="26"/>
      <c r="G174" s="26"/>
    </row>
    <row r="175">
      <c r="B175" s="26"/>
      <c r="G175" s="26"/>
    </row>
    <row r="176">
      <c r="B176" s="26"/>
      <c r="G176" s="26"/>
    </row>
    <row r="177">
      <c r="B177" s="26"/>
      <c r="G177" s="26"/>
    </row>
    <row r="178">
      <c r="B178" s="26"/>
      <c r="G178" s="26"/>
    </row>
    <row r="179">
      <c r="B179" s="26"/>
      <c r="G179" s="26"/>
    </row>
    <row r="180">
      <c r="B180" s="26"/>
      <c r="G180" s="26"/>
    </row>
    <row r="181">
      <c r="B181" s="26"/>
      <c r="G181" s="26"/>
    </row>
    <row r="182">
      <c r="B182" s="26"/>
      <c r="G182" s="26"/>
    </row>
    <row r="183">
      <c r="B183" s="26"/>
      <c r="G183" s="26"/>
    </row>
    <row r="184">
      <c r="B184" s="26"/>
      <c r="G184" s="26"/>
    </row>
    <row r="185">
      <c r="B185" s="26"/>
      <c r="G185" s="26"/>
    </row>
    <row r="186">
      <c r="B186" s="26"/>
      <c r="G186" s="26"/>
    </row>
    <row r="187">
      <c r="B187" s="26"/>
      <c r="G187" s="26"/>
    </row>
    <row r="188">
      <c r="B188" s="26"/>
      <c r="G188" s="26"/>
    </row>
    <row r="189">
      <c r="B189" s="26"/>
      <c r="G189" s="26"/>
    </row>
    <row r="190">
      <c r="B190" s="26"/>
      <c r="G190" s="26"/>
    </row>
    <row r="191">
      <c r="B191" s="26"/>
      <c r="G191" s="26"/>
    </row>
    <row r="192">
      <c r="B192" s="26"/>
      <c r="G192" s="26"/>
    </row>
    <row r="193">
      <c r="B193" s="26"/>
      <c r="G193" s="26"/>
    </row>
    <row r="194">
      <c r="B194" s="26"/>
      <c r="G194" s="26"/>
    </row>
    <row r="195">
      <c r="B195" s="26"/>
      <c r="G195" s="26"/>
    </row>
    <row r="196">
      <c r="B196" s="26"/>
      <c r="G196" s="26"/>
    </row>
    <row r="197">
      <c r="B197" s="26"/>
      <c r="G197" s="26"/>
    </row>
    <row r="198">
      <c r="B198" s="26"/>
      <c r="G198" s="26"/>
    </row>
    <row r="199">
      <c r="B199" s="26"/>
      <c r="G199" s="26"/>
    </row>
    <row r="200">
      <c r="B200" s="26"/>
      <c r="G200" s="26"/>
    </row>
    <row r="201">
      <c r="B201" s="26"/>
      <c r="G201" s="26"/>
    </row>
    <row r="202">
      <c r="B202" s="26"/>
      <c r="G202" s="26"/>
    </row>
    <row r="203">
      <c r="B203" s="26"/>
      <c r="G203" s="26"/>
    </row>
    <row r="204">
      <c r="B204" s="26"/>
      <c r="G204" s="26"/>
    </row>
    <row r="205">
      <c r="B205" s="26"/>
      <c r="G205" s="26"/>
    </row>
    <row r="206">
      <c r="B206" s="26"/>
      <c r="G206" s="26"/>
    </row>
    <row r="207">
      <c r="B207" s="26"/>
      <c r="G207" s="26"/>
    </row>
    <row r="208">
      <c r="B208" s="26"/>
      <c r="G208" s="26"/>
    </row>
    <row r="209">
      <c r="B209" s="26"/>
      <c r="G209" s="26"/>
    </row>
    <row r="210">
      <c r="B210" s="26"/>
      <c r="G210" s="26"/>
    </row>
    <row r="211">
      <c r="B211" s="26"/>
      <c r="G211" s="26"/>
    </row>
    <row r="212">
      <c r="B212" s="26"/>
      <c r="G212" s="26"/>
    </row>
    <row r="213">
      <c r="B213" s="26"/>
      <c r="G213" s="26"/>
    </row>
    <row r="214">
      <c r="B214" s="26"/>
      <c r="G214" s="26"/>
    </row>
    <row r="215">
      <c r="B215" s="26"/>
      <c r="G215" s="26"/>
    </row>
    <row r="216">
      <c r="B216" s="26"/>
      <c r="G216" s="26"/>
    </row>
    <row r="217">
      <c r="B217" s="26"/>
      <c r="G217" s="26"/>
    </row>
    <row r="218">
      <c r="B218" s="26"/>
      <c r="G218" s="26"/>
    </row>
    <row r="219">
      <c r="B219" s="26"/>
      <c r="G219" s="26"/>
    </row>
    <row r="220">
      <c r="B220" s="26"/>
      <c r="G220" s="26"/>
    </row>
    <row r="221">
      <c r="B221" s="26"/>
      <c r="G221" s="26"/>
    </row>
    <row r="222">
      <c r="B222" s="26"/>
      <c r="G222" s="26"/>
    </row>
    <row r="223">
      <c r="B223" s="26"/>
      <c r="G223" s="26"/>
    </row>
    <row r="224">
      <c r="B224" s="26"/>
      <c r="G224" s="26"/>
    </row>
    <row r="225">
      <c r="B225" s="26"/>
      <c r="G225" s="26"/>
    </row>
    <row r="226">
      <c r="B226" s="26"/>
      <c r="G226" s="26"/>
    </row>
    <row r="227">
      <c r="B227" s="26"/>
      <c r="G227" s="26"/>
    </row>
    <row r="228">
      <c r="B228" s="26"/>
      <c r="G228" s="26"/>
    </row>
    <row r="229">
      <c r="B229" s="26"/>
      <c r="G229" s="26"/>
    </row>
    <row r="230">
      <c r="B230" s="26"/>
      <c r="G230" s="26"/>
    </row>
    <row r="231">
      <c r="B231" s="26"/>
      <c r="G231" s="26"/>
    </row>
    <row r="232">
      <c r="B232" s="26"/>
      <c r="G232" s="26"/>
    </row>
    <row r="233">
      <c r="B233" s="26"/>
      <c r="G233" s="26"/>
    </row>
    <row r="234">
      <c r="B234" s="26"/>
      <c r="G234" s="26"/>
    </row>
    <row r="235">
      <c r="B235" s="26"/>
      <c r="G235" s="26"/>
    </row>
    <row r="236">
      <c r="B236" s="26"/>
      <c r="G236" s="26"/>
    </row>
    <row r="237">
      <c r="B237" s="26"/>
      <c r="G237" s="26"/>
    </row>
    <row r="238">
      <c r="B238" s="26"/>
      <c r="G238" s="26"/>
    </row>
    <row r="239">
      <c r="B239" s="26"/>
      <c r="G239" s="26"/>
    </row>
    <row r="240">
      <c r="B240" s="26"/>
      <c r="G240" s="26"/>
    </row>
    <row r="241">
      <c r="B241" s="26"/>
      <c r="G241" s="26"/>
    </row>
    <row r="242">
      <c r="B242" s="26"/>
      <c r="G242" s="26"/>
    </row>
    <row r="243">
      <c r="B243" s="26"/>
      <c r="G243" s="26"/>
    </row>
    <row r="244">
      <c r="B244" s="26"/>
      <c r="G244" s="26"/>
    </row>
    <row r="245">
      <c r="B245" s="26"/>
      <c r="G245" s="26"/>
    </row>
    <row r="246">
      <c r="B246" s="26"/>
      <c r="G246" s="26"/>
    </row>
    <row r="247">
      <c r="B247" s="26"/>
      <c r="G247" s="26"/>
    </row>
    <row r="248">
      <c r="B248" s="26"/>
      <c r="G248" s="26"/>
    </row>
    <row r="249">
      <c r="B249" s="26"/>
      <c r="G249" s="26"/>
    </row>
    <row r="250">
      <c r="B250" s="26"/>
      <c r="G250" s="26"/>
    </row>
    <row r="251">
      <c r="B251" s="26"/>
      <c r="G251" s="26"/>
    </row>
    <row r="252">
      <c r="B252" s="26"/>
      <c r="G252" s="26"/>
    </row>
    <row r="253">
      <c r="B253" s="26"/>
      <c r="G253" s="26"/>
    </row>
    <row r="254">
      <c r="B254" s="26"/>
      <c r="G254" s="26"/>
    </row>
    <row r="255">
      <c r="B255" s="26"/>
      <c r="G255" s="26"/>
    </row>
    <row r="256">
      <c r="B256" s="26"/>
      <c r="G256" s="26"/>
    </row>
    <row r="257">
      <c r="B257" s="26"/>
      <c r="G257" s="26"/>
    </row>
    <row r="258">
      <c r="B258" s="26"/>
      <c r="G258" s="26"/>
    </row>
    <row r="259">
      <c r="B259" s="26"/>
      <c r="G259" s="26"/>
    </row>
    <row r="260">
      <c r="B260" s="26"/>
      <c r="G260" s="26"/>
    </row>
    <row r="261">
      <c r="B261" s="26"/>
      <c r="G261" s="26"/>
    </row>
    <row r="262">
      <c r="B262" s="26"/>
      <c r="G262" s="26"/>
    </row>
    <row r="263">
      <c r="B263" s="26"/>
      <c r="G263" s="26"/>
    </row>
    <row r="264">
      <c r="B264" s="26"/>
      <c r="G264" s="26"/>
    </row>
    <row r="265">
      <c r="B265" s="26"/>
      <c r="G265" s="26"/>
    </row>
    <row r="266">
      <c r="B266" s="26"/>
      <c r="G266" s="26"/>
    </row>
    <row r="267">
      <c r="B267" s="26"/>
      <c r="G267" s="26"/>
    </row>
    <row r="268">
      <c r="B268" s="26"/>
      <c r="G268" s="26"/>
    </row>
    <row r="269">
      <c r="B269" s="26"/>
      <c r="G269" s="26"/>
    </row>
    <row r="270">
      <c r="B270" s="26"/>
      <c r="G270" s="26"/>
    </row>
    <row r="271">
      <c r="B271" s="26"/>
      <c r="G271" s="26"/>
    </row>
    <row r="272">
      <c r="B272" s="26"/>
      <c r="G272" s="26"/>
    </row>
    <row r="273">
      <c r="B273" s="26"/>
      <c r="G273" s="26"/>
    </row>
    <row r="274">
      <c r="B274" s="26"/>
      <c r="G274" s="26"/>
    </row>
    <row r="275">
      <c r="B275" s="26"/>
      <c r="G275" s="26"/>
    </row>
    <row r="276">
      <c r="B276" s="26"/>
      <c r="G276" s="26"/>
    </row>
    <row r="277">
      <c r="B277" s="26"/>
      <c r="G277" s="26"/>
    </row>
    <row r="278">
      <c r="B278" s="26"/>
      <c r="G278" s="26"/>
    </row>
    <row r="279">
      <c r="B279" s="26"/>
      <c r="G279" s="26"/>
    </row>
    <row r="280">
      <c r="B280" s="26"/>
      <c r="G280" s="26"/>
    </row>
    <row r="281">
      <c r="B281" s="26"/>
      <c r="G281" s="26"/>
    </row>
    <row r="282">
      <c r="B282" s="26"/>
      <c r="G282" s="26"/>
    </row>
    <row r="283">
      <c r="B283" s="26"/>
      <c r="G283" s="26"/>
    </row>
    <row r="284">
      <c r="B284" s="26"/>
      <c r="G284" s="26"/>
    </row>
    <row r="285">
      <c r="B285" s="26"/>
      <c r="G285" s="26"/>
    </row>
    <row r="286">
      <c r="B286" s="26"/>
      <c r="G286" s="26"/>
    </row>
    <row r="287">
      <c r="B287" s="26"/>
      <c r="G287" s="26"/>
    </row>
    <row r="288">
      <c r="B288" s="26"/>
      <c r="G288" s="26"/>
    </row>
    <row r="289">
      <c r="B289" s="26"/>
      <c r="G289" s="26"/>
    </row>
    <row r="290">
      <c r="B290" s="26"/>
      <c r="G290" s="26"/>
    </row>
    <row r="291">
      <c r="B291" s="26"/>
      <c r="G291" s="26"/>
    </row>
    <row r="292">
      <c r="B292" s="26"/>
      <c r="G292" s="26"/>
    </row>
    <row r="293">
      <c r="B293" s="26"/>
      <c r="G293" s="26"/>
    </row>
    <row r="294">
      <c r="B294" s="26"/>
      <c r="G294" s="26"/>
    </row>
    <row r="295">
      <c r="B295" s="26"/>
      <c r="G295" s="26"/>
    </row>
    <row r="296">
      <c r="B296" s="26"/>
      <c r="G296" s="26"/>
    </row>
    <row r="297">
      <c r="B297" s="26"/>
      <c r="G297" s="26"/>
    </row>
    <row r="298">
      <c r="B298" s="26"/>
      <c r="G298" s="26"/>
    </row>
    <row r="299">
      <c r="B299" s="26"/>
      <c r="G299" s="26"/>
    </row>
    <row r="300">
      <c r="B300" s="26"/>
      <c r="G300" s="26"/>
    </row>
    <row r="301">
      <c r="B301" s="26"/>
      <c r="G301" s="26"/>
    </row>
    <row r="302">
      <c r="B302" s="26"/>
      <c r="G302" s="26"/>
    </row>
    <row r="303">
      <c r="B303" s="26"/>
      <c r="G303" s="26"/>
    </row>
    <row r="304">
      <c r="B304" s="26"/>
      <c r="G304" s="26"/>
    </row>
    <row r="305">
      <c r="B305" s="26"/>
      <c r="G305" s="26"/>
    </row>
    <row r="306">
      <c r="B306" s="26"/>
      <c r="G306" s="26"/>
    </row>
    <row r="307">
      <c r="B307" s="26"/>
      <c r="G307" s="26"/>
    </row>
    <row r="308">
      <c r="B308" s="26"/>
      <c r="G308" s="26"/>
    </row>
    <row r="309">
      <c r="B309" s="26"/>
      <c r="G309" s="26"/>
    </row>
    <row r="310">
      <c r="B310" s="26"/>
      <c r="G310" s="26"/>
    </row>
    <row r="311">
      <c r="B311" s="26"/>
      <c r="G311" s="26"/>
    </row>
    <row r="312">
      <c r="B312" s="26"/>
      <c r="G312" s="26"/>
    </row>
    <row r="313">
      <c r="B313" s="26"/>
      <c r="G313" s="26"/>
    </row>
    <row r="314">
      <c r="B314" s="26"/>
      <c r="G314" s="26"/>
    </row>
    <row r="315">
      <c r="B315" s="26"/>
      <c r="G315" s="26"/>
    </row>
    <row r="316">
      <c r="B316" s="26"/>
      <c r="G316" s="26"/>
    </row>
    <row r="317">
      <c r="B317" s="26"/>
      <c r="G317" s="26"/>
    </row>
    <row r="318">
      <c r="B318" s="26"/>
      <c r="G318" s="26"/>
    </row>
    <row r="319">
      <c r="B319" s="26"/>
      <c r="G319" s="26"/>
    </row>
    <row r="320">
      <c r="B320" s="26"/>
      <c r="G320" s="26"/>
    </row>
    <row r="321">
      <c r="B321" s="26"/>
      <c r="G321" s="26"/>
    </row>
    <row r="322">
      <c r="B322" s="26"/>
      <c r="G322" s="26"/>
    </row>
    <row r="323">
      <c r="B323" s="26"/>
      <c r="G323" s="26"/>
    </row>
    <row r="324">
      <c r="B324" s="26"/>
      <c r="G324" s="26"/>
    </row>
    <row r="325">
      <c r="B325" s="26"/>
      <c r="G325" s="26"/>
    </row>
    <row r="326">
      <c r="B326" s="26"/>
      <c r="G326" s="26"/>
    </row>
    <row r="327">
      <c r="B327" s="26"/>
      <c r="G327" s="26"/>
    </row>
    <row r="328">
      <c r="B328" s="26"/>
      <c r="G328" s="26"/>
    </row>
    <row r="329">
      <c r="B329" s="26"/>
      <c r="G329" s="26"/>
    </row>
    <row r="330">
      <c r="B330" s="26"/>
      <c r="G330" s="26"/>
    </row>
    <row r="331">
      <c r="B331" s="26"/>
      <c r="G331" s="26"/>
    </row>
    <row r="332">
      <c r="B332" s="26"/>
      <c r="G332" s="26"/>
    </row>
    <row r="333">
      <c r="B333" s="26"/>
      <c r="G333" s="26"/>
    </row>
    <row r="334">
      <c r="B334" s="26"/>
      <c r="G334" s="26"/>
    </row>
    <row r="335">
      <c r="B335" s="26"/>
      <c r="G335" s="26"/>
    </row>
    <row r="336">
      <c r="B336" s="26"/>
      <c r="G336" s="26"/>
    </row>
    <row r="337">
      <c r="B337" s="26"/>
      <c r="G337" s="26"/>
    </row>
    <row r="338">
      <c r="B338" s="26"/>
      <c r="G338" s="26"/>
    </row>
    <row r="339">
      <c r="B339" s="26"/>
      <c r="G339" s="26"/>
    </row>
    <row r="340">
      <c r="B340" s="26"/>
      <c r="G340" s="26"/>
    </row>
    <row r="341">
      <c r="B341" s="26"/>
      <c r="G341" s="26"/>
    </row>
    <row r="342">
      <c r="B342" s="26"/>
      <c r="G342" s="26"/>
    </row>
    <row r="343">
      <c r="B343" s="26"/>
      <c r="G343" s="26"/>
    </row>
    <row r="344">
      <c r="B344" s="26"/>
      <c r="G344" s="26"/>
    </row>
    <row r="345">
      <c r="B345" s="26"/>
      <c r="G345" s="26"/>
    </row>
    <row r="346">
      <c r="B346" s="26"/>
      <c r="G346" s="26"/>
    </row>
    <row r="347">
      <c r="B347" s="26"/>
      <c r="G347" s="26"/>
    </row>
    <row r="348">
      <c r="B348" s="26"/>
      <c r="G348" s="26"/>
    </row>
    <row r="349">
      <c r="B349" s="26"/>
      <c r="G349" s="26"/>
    </row>
    <row r="350">
      <c r="B350" s="26"/>
      <c r="G350" s="26"/>
    </row>
    <row r="351">
      <c r="B351" s="26"/>
      <c r="G351" s="26"/>
    </row>
    <row r="352">
      <c r="B352" s="26"/>
      <c r="G352" s="26"/>
    </row>
    <row r="353">
      <c r="B353" s="26"/>
      <c r="G353" s="26"/>
    </row>
    <row r="354">
      <c r="B354" s="26"/>
      <c r="G354" s="26"/>
    </row>
    <row r="355">
      <c r="B355" s="26"/>
      <c r="G355" s="26"/>
    </row>
    <row r="356">
      <c r="B356" s="26"/>
      <c r="G356" s="26"/>
    </row>
    <row r="357">
      <c r="B357" s="26"/>
      <c r="G357" s="26"/>
    </row>
    <row r="358">
      <c r="B358" s="26"/>
      <c r="G358" s="26"/>
    </row>
    <row r="359">
      <c r="B359" s="26"/>
      <c r="G359" s="26"/>
    </row>
    <row r="360">
      <c r="B360" s="26"/>
      <c r="G360" s="26"/>
    </row>
    <row r="361">
      <c r="B361" s="26"/>
      <c r="G361" s="26"/>
    </row>
    <row r="362">
      <c r="B362" s="26"/>
      <c r="G362" s="26"/>
    </row>
    <row r="363">
      <c r="B363" s="26"/>
      <c r="G363" s="26"/>
    </row>
    <row r="364">
      <c r="B364" s="26"/>
      <c r="G364" s="26"/>
    </row>
    <row r="365">
      <c r="B365" s="26"/>
      <c r="G365" s="26"/>
    </row>
    <row r="366">
      <c r="B366" s="26"/>
      <c r="G366" s="26"/>
    </row>
    <row r="367">
      <c r="B367" s="26"/>
      <c r="G367" s="26"/>
    </row>
    <row r="368">
      <c r="B368" s="26"/>
      <c r="G368" s="26"/>
    </row>
    <row r="369">
      <c r="B369" s="26"/>
      <c r="G369" s="26"/>
    </row>
    <row r="370">
      <c r="B370" s="26"/>
      <c r="G370" s="26"/>
    </row>
    <row r="371">
      <c r="B371" s="26"/>
      <c r="G371" s="26"/>
    </row>
    <row r="372">
      <c r="B372" s="26"/>
      <c r="G372" s="26"/>
    </row>
    <row r="373">
      <c r="B373" s="26"/>
      <c r="G373" s="26"/>
    </row>
    <row r="374">
      <c r="B374" s="26"/>
      <c r="G374" s="26"/>
    </row>
    <row r="375">
      <c r="B375" s="26"/>
      <c r="G375" s="26"/>
    </row>
    <row r="376">
      <c r="B376" s="26"/>
      <c r="G376" s="26"/>
    </row>
    <row r="377">
      <c r="B377" s="26"/>
      <c r="G377" s="26"/>
    </row>
    <row r="378">
      <c r="B378" s="26"/>
      <c r="G378" s="26"/>
    </row>
    <row r="379">
      <c r="B379" s="26"/>
      <c r="G379" s="26"/>
    </row>
    <row r="380">
      <c r="B380" s="26"/>
      <c r="G380" s="26"/>
    </row>
    <row r="381">
      <c r="B381" s="26"/>
      <c r="G381" s="26"/>
    </row>
    <row r="382">
      <c r="B382" s="26"/>
      <c r="G382" s="26"/>
    </row>
    <row r="383">
      <c r="B383" s="26"/>
      <c r="G383" s="26"/>
    </row>
    <row r="384">
      <c r="B384" s="26"/>
      <c r="G384" s="26"/>
    </row>
    <row r="385">
      <c r="B385" s="26"/>
      <c r="G385" s="26"/>
    </row>
    <row r="386">
      <c r="B386" s="26"/>
      <c r="G386" s="26"/>
    </row>
    <row r="387">
      <c r="B387" s="26"/>
      <c r="G387" s="26"/>
    </row>
    <row r="388">
      <c r="B388" s="26"/>
      <c r="G388" s="26"/>
    </row>
    <row r="389">
      <c r="B389" s="26"/>
      <c r="G389" s="26"/>
    </row>
    <row r="390">
      <c r="B390" s="26"/>
      <c r="G390" s="26"/>
    </row>
    <row r="391">
      <c r="B391" s="26"/>
      <c r="G391" s="26"/>
    </row>
    <row r="392">
      <c r="B392" s="26"/>
      <c r="G392" s="26"/>
    </row>
    <row r="393">
      <c r="B393" s="26"/>
      <c r="G393" s="26"/>
    </row>
    <row r="394">
      <c r="B394" s="26"/>
      <c r="G394" s="26"/>
    </row>
    <row r="395">
      <c r="B395" s="26"/>
      <c r="G395" s="26"/>
    </row>
    <row r="396">
      <c r="B396" s="26"/>
      <c r="G396" s="26"/>
    </row>
    <row r="397">
      <c r="B397" s="26"/>
      <c r="G397" s="26"/>
    </row>
    <row r="398">
      <c r="B398" s="26"/>
      <c r="G398" s="26"/>
    </row>
    <row r="399">
      <c r="B399" s="26"/>
      <c r="G399" s="26"/>
    </row>
    <row r="400">
      <c r="B400" s="26"/>
      <c r="G400" s="26"/>
    </row>
    <row r="401">
      <c r="B401" s="26"/>
      <c r="G401" s="26"/>
    </row>
    <row r="402">
      <c r="B402" s="26"/>
      <c r="G402" s="26"/>
    </row>
    <row r="403">
      <c r="B403" s="26"/>
      <c r="G403" s="26"/>
    </row>
    <row r="404">
      <c r="B404" s="26"/>
      <c r="G404" s="26"/>
    </row>
    <row r="405">
      <c r="B405" s="26"/>
      <c r="G405" s="26"/>
    </row>
    <row r="406">
      <c r="B406" s="26"/>
      <c r="G406" s="26"/>
    </row>
    <row r="407">
      <c r="B407" s="26"/>
      <c r="G407" s="26"/>
    </row>
    <row r="408">
      <c r="B408" s="26"/>
      <c r="G408" s="26"/>
    </row>
    <row r="409">
      <c r="B409" s="26"/>
      <c r="G409" s="26"/>
    </row>
    <row r="410">
      <c r="B410" s="26"/>
      <c r="G410" s="26"/>
    </row>
    <row r="411">
      <c r="B411" s="26"/>
      <c r="G411" s="26"/>
    </row>
    <row r="412">
      <c r="B412" s="26"/>
      <c r="G412" s="26"/>
    </row>
    <row r="413">
      <c r="B413" s="26"/>
      <c r="G413" s="26"/>
    </row>
    <row r="414">
      <c r="B414" s="26"/>
      <c r="G414" s="26"/>
    </row>
    <row r="415">
      <c r="B415" s="26"/>
      <c r="G415" s="26"/>
    </row>
    <row r="416">
      <c r="B416" s="26"/>
      <c r="G416" s="26"/>
    </row>
    <row r="417">
      <c r="B417" s="26"/>
      <c r="G417" s="26"/>
    </row>
    <row r="418">
      <c r="B418" s="26"/>
      <c r="G418" s="26"/>
    </row>
    <row r="419">
      <c r="B419" s="26"/>
      <c r="G419" s="26"/>
    </row>
    <row r="420">
      <c r="B420" s="26"/>
      <c r="G420" s="26"/>
    </row>
    <row r="421">
      <c r="B421" s="26"/>
      <c r="G421" s="26"/>
    </row>
    <row r="422">
      <c r="B422" s="26"/>
      <c r="G422" s="26"/>
    </row>
    <row r="423">
      <c r="B423" s="26"/>
      <c r="G423" s="26"/>
    </row>
    <row r="424">
      <c r="B424" s="26"/>
      <c r="G424" s="26"/>
    </row>
    <row r="425">
      <c r="B425" s="26"/>
      <c r="G425" s="26"/>
    </row>
    <row r="426">
      <c r="B426" s="26"/>
      <c r="G426" s="26"/>
    </row>
    <row r="427">
      <c r="B427" s="26"/>
      <c r="G427" s="26"/>
    </row>
    <row r="428">
      <c r="B428" s="26"/>
      <c r="G428" s="26"/>
    </row>
    <row r="429">
      <c r="B429" s="26"/>
      <c r="G429" s="26"/>
    </row>
    <row r="430">
      <c r="B430" s="26"/>
      <c r="G430" s="26"/>
    </row>
    <row r="431">
      <c r="B431" s="26"/>
      <c r="G431" s="26"/>
    </row>
    <row r="432">
      <c r="B432" s="26"/>
      <c r="G432" s="26"/>
    </row>
    <row r="433">
      <c r="B433" s="26"/>
      <c r="G433" s="26"/>
    </row>
    <row r="434">
      <c r="B434" s="26"/>
      <c r="G434" s="26"/>
    </row>
    <row r="435">
      <c r="B435" s="26"/>
      <c r="G435" s="26"/>
    </row>
    <row r="436">
      <c r="B436" s="26"/>
      <c r="G436" s="26"/>
    </row>
    <row r="437">
      <c r="B437" s="26"/>
      <c r="G437" s="26"/>
    </row>
    <row r="438">
      <c r="B438" s="26"/>
      <c r="G438" s="26"/>
    </row>
    <row r="439">
      <c r="B439" s="26"/>
      <c r="G439" s="26"/>
    </row>
    <row r="440">
      <c r="B440" s="26"/>
      <c r="G440" s="26"/>
    </row>
    <row r="441">
      <c r="B441" s="26"/>
      <c r="G441" s="26"/>
    </row>
    <row r="442">
      <c r="B442" s="26"/>
      <c r="G442" s="26"/>
    </row>
    <row r="443">
      <c r="B443" s="26"/>
      <c r="G443" s="26"/>
    </row>
    <row r="444">
      <c r="B444" s="26"/>
      <c r="G444" s="26"/>
    </row>
    <row r="445">
      <c r="B445" s="26"/>
      <c r="G445" s="26"/>
    </row>
    <row r="446">
      <c r="B446" s="26"/>
      <c r="G446" s="26"/>
    </row>
    <row r="447">
      <c r="B447" s="26"/>
      <c r="G447" s="26"/>
    </row>
    <row r="448">
      <c r="B448" s="26"/>
      <c r="G448" s="26"/>
    </row>
    <row r="449">
      <c r="B449" s="26"/>
      <c r="G449" s="26"/>
    </row>
    <row r="450">
      <c r="B450" s="26"/>
      <c r="G450" s="26"/>
    </row>
    <row r="451">
      <c r="B451" s="26"/>
      <c r="G451" s="26"/>
    </row>
    <row r="452">
      <c r="B452" s="26"/>
      <c r="G452" s="26"/>
    </row>
    <row r="453">
      <c r="B453" s="26"/>
      <c r="G453" s="26"/>
    </row>
    <row r="454">
      <c r="B454" s="26"/>
      <c r="G454" s="26"/>
    </row>
    <row r="455">
      <c r="B455" s="26"/>
      <c r="G455" s="26"/>
    </row>
    <row r="456">
      <c r="B456" s="26"/>
      <c r="G456" s="26"/>
    </row>
    <row r="457">
      <c r="B457" s="26"/>
      <c r="G457" s="26"/>
    </row>
    <row r="458">
      <c r="B458" s="26"/>
      <c r="G458" s="26"/>
    </row>
    <row r="459">
      <c r="B459" s="26"/>
      <c r="G459" s="26"/>
    </row>
    <row r="460">
      <c r="B460" s="26"/>
      <c r="G460" s="26"/>
    </row>
    <row r="461">
      <c r="B461" s="26"/>
      <c r="G461" s="26"/>
    </row>
    <row r="462">
      <c r="B462" s="26"/>
      <c r="G462" s="26"/>
    </row>
    <row r="463">
      <c r="B463" s="26"/>
      <c r="G463" s="26"/>
    </row>
    <row r="464">
      <c r="B464" s="26"/>
      <c r="G464" s="26"/>
    </row>
    <row r="465">
      <c r="B465" s="26"/>
      <c r="G465" s="26"/>
    </row>
    <row r="466">
      <c r="B466" s="26"/>
      <c r="G466" s="26"/>
    </row>
    <row r="467">
      <c r="B467" s="26"/>
      <c r="G467" s="26"/>
    </row>
    <row r="468">
      <c r="B468" s="26"/>
      <c r="G468" s="26"/>
    </row>
    <row r="469">
      <c r="B469" s="26"/>
      <c r="G469" s="26"/>
    </row>
    <row r="470">
      <c r="B470" s="26"/>
      <c r="G470" s="26"/>
    </row>
    <row r="471">
      <c r="B471" s="26"/>
      <c r="G471" s="26"/>
    </row>
    <row r="472">
      <c r="B472" s="26"/>
      <c r="G472" s="26"/>
    </row>
    <row r="473">
      <c r="B473" s="26"/>
      <c r="G473" s="26"/>
    </row>
    <row r="474">
      <c r="B474" s="26"/>
      <c r="G474" s="26"/>
    </row>
    <row r="475">
      <c r="B475" s="26"/>
      <c r="G475" s="26"/>
    </row>
    <row r="476">
      <c r="B476" s="26"/>
      <c r="G476" s="26"/>
    </row>
    <row r="477">
      <c r="B477" s="26"/>
      <c r="G477" s="26"/>
    </row>
    <row r="478">
      <c r="B478" s="26"/>
      <c r="G478" s="26"/>
    </row>
    <row r="479">
      <c r="B479" s="26"/>
      <c r="G479" s="26"/>
    </row>
    <row r="480">
      <c r="B480" s="26"/>
      <c r="G480" s="26"/>
    </row>
    <row r="481">
      <c r="B481" s="26"/>
      <c r="G481" s="26"/>
    </row>
    <row r="482">
      <c r="B482" s="26"/>
      <c r="G482" s="26"/>
    </row>
    <row r="483">
      <c r="B483" s="26"/>
      <c r="G483" s="26"/>
    </row>
    <row r="484">
      <c r="B484" s="26"/>
      <c r="G484" s="26"/>
    </row>
    <row r="485">
      <c r="B485" s="26"/>
      <c r="G485" s="26"/>
    </row>
    <row r="486">
      <c r="B486" s="26"/>
      <c r="G486" s="26"/>
    </row>
    <row r="487">
      <c r="B487" s="26"/>
      <c r="G487" s="26"/>
    </row>
    <row r="488">
      <c r="B488" s="26"/>
      <c r="G488" s="26"/>
    </row>
    <row r="489">
      <c r="B489" s="26"/>
      <c r="G489" s="26"/>
    </row>
    <row r="490">
      <c r="B490" s="26"/>
      <c r="G490" s="26"/>
    </row>
    <row r="491">
      <c r="B491" s="26"/>
      <c r="G491" s="26"/>
    </row>
    <row r="492">
      <c r="B492" s="26"/>
      <c r="G492" s="26"/>
    </row>
    <row r="493">
      <c r="B493" s="26"/>
      <c r="G493" s="26"/>
    </row>
    <row r="494">
      <c r="B494" s="26"/>
      <c r="G494" s="26"/>
    </row>
    <row r="495">
      <c r="B495" s="26"/>
      <c r="G495" s="26"/>
    </row>
    <row r="496">
      <c r="B496" s="26"/>
      <c r="G496" s="26"/>
    </row>
    <row r="497">
      <c r="B497" s="26"/>
      <c r="G497" s="26"/>
    </row>
    <row r="498">
      <c r="B498" s="26"/>
      <c r="G498" s="26"/>
    </row>
    <row r="499">
      <c r="B499" s="26"/>
      <c r="G499" s="26"/>
    </row>
    <row r="500">
      <c r="B500" s="26"/>
      <c r="G500" s="26"/>
    </row>
    <row r="501">
      <c r="B501" s="26"/>
      <c r="G501" s="26"/>
    </row>
    <row r="502">
      <c r="B502" s="26"/>
      <c r="G502" s="26"/>
    </row>
    <row r="503">
      <c r="B503" s="26"/>
      <c r="G503" s="26"/>
    </row>
    <row r="504">
      <c r="B504" s="26"/>
      <c r="G504" s="26"/>
    </row>
    <row r="505">
      <c r="B505" s="26"/>
      <c r="G505" s="26"/>
    </row>
    <row r="506">
      <c r="B506" s="26"/>
      <c r="G506" s="26"/>
    </row>
    <row r="507">
      <c r="B507" s="26"/>
      <c r="G507" s="26"/>
    </row>
    <row r="508">
      <c r="B508" s="26"/>
      <c r="G508" s="26"/>
    </row>
    <row r="509">
      <c r="B509" s="26"/>
      <c r="G509" s="26"/>
    </row>
    <row r="510">
      <c r="B510" s="26"/>
      <c r="G510" s="26"/>
    </row>
    <row r="511">
      <c r="B511" s="26"/>
      <c r="G511" s="26"/>
    </row>
    <row r="512">
      <c r="B512" s="26"/>
      <c r="G512" s="26"/>
    </row>
    <row r="513">
      <c r="B513" s="26"/>
      <c r="G513" s="26"/>
    </row>
    <row r="514">
      <c r="B514" s="26"/>
      <c r="G514" s="26"/>
    </row>
    <row r="515">
      <c r="B515" s="26"/>
      <c r="G515" s="26"/>
    </row>
    <row r="516">
      <c r="B516" s="26"/>
      <c r="G516" s="26"/>
    </row>
    <row r="517">
      <c r="B517" s="26"/>
      <c r="G517" s="26"/>
    </row>
    <row r="518">
      <c r="B518" s="26"/>
      <c r="G518" s="26"/>
    </row>
    <row r="519">
      <c r="B519" s="26"/>
      <c r="G519" s="26"/>
    </row>
    <row r="520">
      <c r="B520" s="26"/>
      <c r="G520" s="26"/>
    </row>
    <row r="521">
      <c r="B521" s="26"/>
      <c r="G521" s="26"/>
    </row>
    <row r="522">
      <c r="B522" s="26"/>
      <c r="G522" s="26"/>
    </row>
    <row r="523">
      <c r="B523" s="26"/>
      <c r="G523" s="26"/>
    </row>
    <row r="524">
      <c r="B524" s="26"/>
      <c r="G524" s="26"/>
    </row>
    <row r="525">
      <c r="B525" s="26"/>
      <c r="G525" s="26"/>
    </row>
    <row r="526">
      <c r="B526" s="26"/>
      <c r="G526" s="26"/>
    </row>
    <row r="527">
      <c r="B527" s="26"/>
      <c r="G527" s="26"/>
    </row>
    <row r="528">
      <c r="B528" s="26"/>
      <c r="G528" s="26"/>
    </row>
    <row r="529">
      <c r="B529" s="26"/>
      <c r="G529" s="26"/>
    </row>
    <row r="530">
      <c r="B530" s="26"/>
      <c r="G530" s="26"/>
    </row>
    <row r="531">
      <c r="B531" s="26"/>
      <c r="G531" s="26"/>
    </row>
    <row r="532">
      <c r="B532" s="26"/>
      <c r="G532" s="26"/>
    </row>
    <row r="533">
      <c r="B533" s="26"/>
      <c r="G533" s="26"/>
    </row>
    <row r="534">
      <c r="B534" s="26"/>
      <c r="G534" s="26"/>
    </row>
    <row r="535">
      <c r="B535" s="26"/>
      <c r="G535" s="26"/>
    </row>
    <row r="536">
      <c r="B536" s="26"/>
      <c r="G536" s="26"/>
    </row>
    <row r="537">
      <c r="B537" s="26"/>
      <c r="G537" s="26"/>
    </row>
    <row r="538">
      <c r="B538" s="26"/>
      <c r="G538" s="26"/>
    </row>
    <row r="539">
      <c r="B539" s="26"/>
      <c r="G539" s="26"/>
    </row>
    <row r="540">
      <c r="B540" s="26"/>
      <c r="G540" s="26"/>
    </row>
    <row r="541">
      <c r="B541" s="26"/>
      <c r="G541" s="26"/>
    </row>
    <row r="542">
      <c r="B542" s="26"/>
      <c r="G542" s="26"/>
    </row>
    <row r="543">
      <c r="B543" s="26"/>
      <c r="G543" s="26"/>
    </row>
    <row r="544">
      <c r="B544" s="26"/>
      <c r="G544" s="26"/>
    </row>
    <row r="545">
      <c r="B545" s="26"/>
      <c r="G545" s="26"/>
    </row>
    <row r="546">
      <c r="B546" s="26"/>
      <c r="G546" s="26"/>
    </row>
    <row r="547">
      <c r="B547" s="26"/>
      <c r="G547" s="26"/>
    </row>
    <row r="548">
      <c r="B548" s="26"/>
      <c r="G548" s="26"/>
    </row>
    <row r="549">
      <c r="B549" s="26"/>
      <c r="G549" s="26"/>
    </row>
    <row r="550">
      <c r="B550" s="26"/>
      <c r="G550" s="26"/>
    </row>
    <row r="551">
      <c r="B551" s="26"/>
      <c r="G551" s="26"/>
    </row>
    <row r="552">
      <c r="B552" s="26"/>
      <c r="G552" s="26"/>
    </row>
    <row r="553">
      <c r="B553" s="26"/>
      <c r="G553" s="26"/>
    </row>
    <row r="554">
      <c r="B554" s="26"/>
      <c r="G554" s="26"/>
    </row>
    <row r="555">
      <c r="B555" s="26"/>
      <c r="G555" s="26"/>
    </row>
    <row r="556">
      <c r="B556" s="26"/>
      <c r="G556" s="26"/>
    </row>
    <row r="557">
      <c r="B557" s="26"/>
      <c r="G557" s="26"/>
    </row>
    <row r="558">
      <c r="B558" s="26"/>
      <c r="G558" s="26"/>
    </row>
    <row r="559">
      <c r="B559" s="26"/>
      <c r="G559" s="26"/>
    </row>
    <row r="560">
      <c r="B560" s="26"/>
      <c r="G560" s="26"/>
    </row>
    <row r="561">
      <c r="B561" s="26"/>
      <c r="G561" s="26"/>
    </row>
    <row r="562">
      <c r="B562" s="26"/>
      <c r="G562" s="26"/>
    </row>
    <row r="563">
      <c r="B563" s="26"/>
      <c r="G563" s="26"/>
    </row>
    <row r="564">
      <c r="B564" s="26"/>
      <c r="G564" s="26"/>
    </row>
    <row r="565">
      <c r="B565" s="26"/>
      <c r="G565" s="26"/>
    </row>
    <row r="566">
      <c r="B566" s="26"/>
      <c r="G566" s="26"/>
    </row>
    <row r="567">
      <c r="B567" s="26"/>
      <c r="G567" s="26"/>
    </row>
    <row r="568">
      <c r="B568" s="26"/>
      <c r="G568" s="26"/>
    </row>
    <row r="569">
      <c r="B569" s="26"/>
      <c r="G569" s="26"/>
    </row>
    <row r="570">
      <c r="B570" s="26"/>
      <c r="G570" s="26"/>
    </row>
    <row r="571">
      <c r="B571" s="26"/>
      <c r="G571" s="26"/>
    </row>
    <row r="572">
      <c r="B572" s="26"/>
      <c r="G572" s="26"/>
    </row>
    <row r="573">
      <c r="B573" s="26"/>
      <c r="G573" s="26"/>
    </row>
    <row r="574">
      <c r="B574" s="26"/>
      <c r="G574" s="26"/>
    </row>
    <row r="575">
      <c r="B575" s="26"/>
      <c r="G575" s="26"/>
    </row>
    <row r="576">
      <c r="B576" s="26"/>
      <c r="G576" s="26"/>
    </row>
    <row r="577">
      <c r="B577" s="26"/>
      <c r="G577" s="26"/>
    </row>
    <row r="578">
      <c r="B578" s="26"/>
      <c r="G578" s="26"/>
    </row>
    <row r="579">
      <c r="B579" s="26"/>
      <c r="G579" s="26"/>
    </row>
    <row r="580">
      <c r="B580" s="26"/>
      <c r="G580" s="26"/>
    </row>
    <row r="581">
      <c r="B581" s="26"/>
      <c r="G581" s="26"/>
    </row>
    <row r="582">
      <c r="B582" s="26"/>
      <c r="G582" s="26"/>
    </row>
    <row r="583">
      <c r="B583" s="26"/>
      <c r="G583" s="26"/>
    </row>
    <row r="584">
      <c r="B584" s="26"/>
      <c r="G584" s="26"/>
    </row>
    <row r="585">
      <c r="B585" s="26"/>
      <c r="G585" s="26"/>
    </row>
    <row r="586">
      <c r="B586" s="26"/>
      <c r="G586" s="26"/>
    </row>
    <row r="587">
      <c r="B587" s="26"/>
      <c r="G587" s="26"/>
    </row>
    <row r="588">
      <c r="B588" s="26"/>
      <c r="G588" s="26"/>
    </row>
    <row r="589">
      <c r="B589" s="26"/>
      <c r="G589" s="26"/>
    </row>
    <row r="590">
      <c r="B590" s="26"/>
      <c r="G590" s="26"/>
    </row>
    <row r="591">
      <c r="B591" s="26"/>
      <c r="G591" s="26"/>
    </row>
    <row r="592">
      <c r="B592" s="26"/>
      <c r="G592" s="26"/>
    </row>
    <row r="593">
      <c r="B593" s="26"/>
      <c r="G593" s="26"/>
    </row>
    <row r="594">
      <c r="B594" s="26"/>
      <c r="G594" s="26"/>
    </row>
    <row r="595">
      <c r="B595" s="26"/>
      <c r="G595" s="26"/>
    </row>
    <row r="596">
      <c r="B596" s="26"/>
      <c r="G596" s="26"/>
    </row>
    <row r="597">
      <c r="B597" s="26"/>
      <c r="G597" s="26"/>
    </row>
    <row r="598">
      <c r="B598" s="26"/>
      <c r="G598" s="26"/>
    </row>
    <row r="599">
      <c r="B599" s="26"/>
      <c r="G599" s="26"/>
    </row>
    <row r="600">
      <c r="B600" s="26"/>
      <c r="G600" s="26"/>
    </row>
    <row r="601">
      <c r="B601" s="26"/>
      <c r="G601" s="26"/>
    </row>
    <row r="602">
      <c r="B602" s="26"/>
      <c r="G602" s="26"/>
    </row>
    <row r="603">
      <c r="B603" s="26"/>
      <c r="G603" s="26"/>
    </row>
    <row r="604">
      <c r="B604" s="26"/>
      <c r="G604" s="26"/>
    </row>
    <row r="605">
      <c r="B605" s="26"/>
      <c r="G605" s="26"/>
    </row>
    <row r="606">
      <c r="B606" s="26"/>
      <c r="G606" s="26"/>
    </row>
    <row r="607">
      <c r="B607" s="26"/>
      <c r="G607" s="26"/>
    </row>
    <row r="608">
      <c r="B608" s="26"/>
      <c r="G608" s="26"/>
    </row>
    <row r="609">
      <c r="B609" s="26"/>
      <c r="G609" s="26"/>
    </row>
    <row r="610">
      <c r="B610" s="26"/>
      <c r="G610" s="26"/>
    </row>
    <row r="611">
      <c r="B611" s="26"/>
      <c r="G611" s="26"/>
    </row>
    <row r="612">
      <c r="B612" s="26"/>
      <c r="G612" s="26"/>
    </row>
    <row r="613">
      <c r="B613" s="26"/>
      <c r="G613" s="26"/>
    </row>
    <row r="614">
      <c r="B614" s="26"/>
      <c r="G614" s="26"/>
    </row>
    <row r="615">
      <c r="B615" s="26"/>
      <c r="G615" s="26"/>
    </row>
    <row r="616">
      <c r="B616" s="26"/>
      <c r="G616" s="26"/>
    </row>
    <row r="617">
      <c r="B617" s="26"/>
      <c r="G617" s="26"/>
    </row>
    <row r="618">
      <c r="B618" s="26"/>
      <c r="G618" s="26"/>
    </row>
    <row r="619">
      <c r="B619" s="26"/>
      <c r="G619" s="26"/>
    </row>
    <row r="620">
      <c r="B620" s="26"/>
      <c r="G620" s="26"/>
    </row>
    <row r="621">
      <c r="B621" s="26"/>
      <c r="G621" s="26"/>
    </row>
    <row r="622">
      <c r="B622" s="26"/>
      <c r="G622" s="26"/>
    </row>
    <row r="623">
      <c r="B623" s="26"/>
      <c r="G623" s="26"/>
    </row>
    <row r="624">
      <c r="B624" s="26"/>
      <c r="G624" s="26"/>
    </row>
    <row r="625">
      <c r="B625" s="26"/>
      <c r="G625" s="26"/>
    </row>
    <row r="626">
      <c r="B626" s="26"/>
      <c r="G626" s="26"/>
    </row>
    <row r="627">
      <c r="B627" s="26"/>
      <c r="G627" s="26"/>
    </row>
    <row r="628">
      <c r="B628" s="26"/>
      <c r="G628" s="26"/>
    </row>
    <row r="629">
      <c r="B629" s="26"/>
      <c r="G629" s="26"/>
    </row>
    <row r="630">
      <c r="B630" s="26"/>
      <c r="G630" s="26"/>
    </row>
    <row r="631">
      <c r="B631" s="26"/>
      <c r="G631" s="26"/>
    </row>
    <row r="632">
      <c r="B632" s="26"/>
      <c r="G632" s="26"/>
    </row>
    <row r="633">
      <c r="B633" s="26"/>
      <c r="G633" s="26"/>
    </row>
    <row r="634">
      <c r="B634" s="26"/>
      <c r="G634" s="26"/>
    </row>
    <row r="635">
      <c r="B635" s="26"/>
      <c r="G635" s="26"/>
    </row>
    <row r="636">
      <c r="B636" s="26"/>
      <c r="G636" s="26"/>
    </row>
    <row r="637">
      <c r="B637" s="26"/>
      <c r="G637" s="26"/>
    </row>
    <row r="638">
      <c r="B638" s="26"/>
      <c r="G638" s="26"/>
    </row>
    <row r="639">
      <c r="B639" s="26"/>
      <c r="G639" s="26"/>
    </row>
    <row r="640">
      <c r="B640" s="26"/>
      <c r="G640" s="26"/>
    </row>
    <row r="641">
      <c r="B641" s="26"/>
      <c r="G641" s="26"/>
    </row>
    <row r="642">
      <c r="B642" s="26"/>
      <c r="G642" s="26"/>
    </row>
    <row r="643">
      <c r="B643" s="26"/>
      <c r="G643" s="26"/>
    </row>
    <row r="644">
      <c r="B644" s="26"/>
      <c r="G644" s="26"/>
    </row>
    <row r="645">
      <c r="B645" s="26"/>
      <c r="G645" s="26"/>
    </row>
    <row r="646">
      <c r="B646" s="26"/>
      <c r="G646" s="26"/>
    </row>
    <row r="647">
      <c r="B647" s="26"/>
      <c r="G647" s="26"/>
    </row>
    <row r="648">
      <c r="B648" s="26"/>
      <c r="G648" s="26"/>
    </row>
    <row r="649">
      <c r="B649" s="26"/>
      <c r="G649" s="26"/>
    </row>
    <row r="650">
      <c r="B650" s="26"/>
      <c r="G650" s="26"/>
    </row>
    <row r="651">
      <c r="B651" s="26"/>
      <c r="G651" s="26"/>
    </row>
    <row r="652">
      <c r="B652" s="26"/>
      <c r="G652" s="26"/>
    </row>
    <row r="653">
      <c r="B653" s="26"/>
      <c r="G653" s="26"/>
    </row>
    <row r="654">
      <c r="B654" s="26"/>
      <c r="G654" s="26"/>
    </row>
    <row r="655">
      <c r="B655" s="26"/>
      <c r="G655" s="26"/>
    </row>
    <row r="656">
      <c r="B656" s="26"/>
      <c r="G656" s="26"/>
    </row>
    <row r="657">
      <c r="B657" s="26"/>
      <c r="G657" s="26"/>
    </row>
    <row r="658">
      <c r="B658" s="26"/>
      <c r="G658" s="26"/>
    </row>
    <row r="659">
      <c r="B659" s="26"/>
      <c r="G659" s="26"/>
    </row>
    <row r="660">
      <c r="B660" s="26"/>
      <c r="G660" s="26"/>
    </row>
    <row r="661">
      <c r="B661" s="26"/>
      <c r="G661" s="26"/>
    </row>
    <row r="662">
      <c r="B662" s="26"/>
      <c r="G662" s="26"/>
    </row>
    <row r="663">
      <c r="B663" s="26"/>
      <c r="G663" s="26"/>
    </row>
    <row r="664">
      <c r="B664" s="26"/>
      <c r="G664" s="26"/>
    </row>
    <row r="665">
      <c r="B665" s="26"/>
      <c r="G665" s="26"/>
    </row>
    <row r="666">
      <c r="B666" s="26"/>
      <c r="G666" s="26"/>
    </row>
    <row r="667">
      <c r="B667" s="26"/>
      <c r="G667" s="26"/>
    </row>
    <row r="668">
      <c r="B668" s="26"/>
      <c r="G668" s="26"/>
    </row>
    <row r="669">
      <c r="B669" s="26"/>
      <c r="G669" s="26"/>
    </row>
    <row r="670">
      <c r="B670" s="26"/>
      <c r="G670" s="26"/>
    </row>
    <row r="671">
      <c r="B671" s="26"/>
      <c r="G671" s="26"/>
    </row>
    <row r="672">
      <c r="B672" s="26"/>
      <c r="G672" s="26"/>
    </row>
    <row r="673">
      <c r="B673" s="26"/>
      <c r="G673" s="26"/>
    </row>
    <row r="674">
      <c r="B674" s="26"/>
      <c r="G674" s="26"/>
    </row>
    <row r="675">
      <c r="B675" s="26"/>
      <c r="G675" s="26"/>
    </row>
    <row r="676">
      <c r="B676" s="26"/>
      <c r="G676" s="26"/>
    </row>
    <row r="677">
      <c r="B677" s="26"/>
      <c r="G677" s="26"/>
    </row>
    <row r="678">
      <c r="B678" s="26"/>
      <c r="G678" s="26"/>
    </row>
    <row r="679">
      <c r="B679" s="26"/>
      <c r="G679" s="26"/>
    </row>
    <row r="680">
      <c r="B680" s="26"/>
      <c r="G680" s="26"/>
    </row>
    <row r="681">
      <c r="B681" s="26"/>
      <c r="G681" s="26"/>
    </row>
    <row r="682">
      <c r="B682" s="26"/>
      <c r="G682" s="26"/>
    </row>
    <row r="683">
      <c r="B683" s="26"/>
      <c r="G683" s="26"/>
    </row>
    <row r="684">
      <c r="B684" s="26"/>
      <c r="G684" s="26"/>
    </row>
    <row r="685">
      <c r="B685" s="26"/>
      <c r="G685" s="26"/>
    </row>
    <row r="686">
      <c r="B686" s="26"/>
      <c r="G686" s="26"/>
    </row>
    <row r="687">
      <c r="B687" s="26"/>
      <c r="G687" s="26"/>
    </row>
    <row r="688">
      <c r="B688" s="26"/>
      <c r="G688" s="26"/>
    </row>
    <row r="689">
      <c r="B689" s="26"/>
      <c r="G689" s="26"/>
    </row>
    <row r="690">
      <c r="B690" s="26"/>
      <c r="G690" s="26"/>
    </row>
    <row r="691">
      <c r="B691" s="26"/>
      <c r="G691" s="26"/>
    </row>
    <row r="692">
      <c r="B692" s="26"/>
      <c r="G692" s="26"/>
    </row>
    <row r="693">
      <c r="B693" s="26"/>
      <c r="G693" s="26"/>
    </row>
    <row r="694">
      <c r="B694" s="26"/>
      <c r="G694" s="26"/>
    </row>
    <row r="695">
      <c r="B695" s="26"/>
      <c r="G695" s="26"/>
    </row>
    <row r="696">
      <c r="B696" s="26"/>
      <c r="G696" s="26"/>
    </row>
    <row r="697">
      <c r="B697" s="26"/>
      <c r="G697" s="26"/>
    </row>
    <row r="698">
      <c r="B698" s="26"/>
      <c r="G698" s="26"/>
    </row>
    <row r="699">
      <c r="B699" s="26"/>
      <c r="G699" s="26"/>
    </row>
    <row r="700">
      <c r="B700" s="26"/>
      <c r="G700" s="26"/>
    </row>
    <row r="701">
      <c r="B701" s="26"/>
      <c r="G701" s="26"/>
    </row>
    <row r="702">
      <c r="B702" s="26"/>
      <c r="G702" s="26"/>
    </row>
    <row r="703">
      <c r="B703" s="26"/>
      <c r="G703" s="26"/>
    </row>
    <row r="704">
      <c r="B704" s="26"/>
      <c r="G704" s="26"/>
    </row>
    <row r="705">
      <c r="B705" s="26"/>
      <c r="G705" s="26"/>
    </row>
    <row r="706">
      <c r="B706" s="26"/>
      <c r="G706" s="26"/>
    </row>
    <row r="707">
      <c r="B707" s="26"/>
      <c r="G707" s="26"/>
    </row>
    <row r="708">
      <c r="B708" s="26"/>
      <c r="G708" s="26"/>
    </row>
    <row r="709">
      <c r="B709" s="26"/>
      <c r="G709" s="26"/>
    </row>
    <row r="710">
      <c r="B710" s="26"/>
      <c r="G710" s="26"/>
    </row>
    <row r="711">
      <c r="B711" s="26"/>
      <c r="G711" s="26"/>
    </row>
    <row r="712">
      <c r="B712" s="26"/>
      <c r="G712" s="26"/>
    </row>
    <row r="713">
      <c r="B713" s="26"/>
      <c r="G713" s="26"/>
    </row>
    <row r="714">
      <c r="B714" s="26"/>
      <c r="G714" s="26"/>
    </row>
    <row r="715">
      <c r="B715" s="26"/>
      <c r="G715" s="26"/>
    </row>
    <row r="716">
      <c r="B716" s="26"/>
      <c r="G716" s="26"/>
    </row>
    <row r="717">
      <c r="B717" s="26"/>
      <c r="G717" s="26"/>
    </row>
    <row r="718">
      <c r="B718" s="26"/>
      <c r="G718" s="26"/>
    </row>
    <row r="719">
      <c r="B719" s="26"/>
      <c r="G719" s="26"/>
    </row>
    <row r="720">
      <c r="B720" s="26"/>
      <c r="G720" s="26"/>
    </row>
    <row r="721">
      <c r="B721" s="26"/>
      <c r="G721" s="26"/>
    </row>
    <row r="722">
      <c r="B722" s="26"/>
      <c r="G722" s="26"/>
    </row>
    <row r="723">
      <c r="B723" s="26"/>
      <c r="G723" s="26"/>
    </row>
    <row r="724">
      <c r="B724" s="26"/>
      <c r="G724" s="26"/>
    </row>
    <row r="725">
      <c r="B725" s="26"/>
      <c r="G725" s="26"/>
    </row>
    <row r="726">
      <c r="B726" s="26"/>
      <c r="G726" s="26"/>
    </row>
    <row r="727">
      <c r="B727" s="26"/>
      <c r="G727" s="26"/>
    </row>
    <row r="728">
      <c r="B728" s="26"/>
      <c r="G728" s="26"/>
    </row>
    <row r="729">
      <c r="B729" s="26"/>
      <c r="G729" s="26"/>
    </row>
    <row r="730">
      <c r="B730" s="26"/>
      <c r="G730" s="26"/>
    </row>
    <row r="731">
      <c r="B731" s="26"/>
      <c r="G731" s="26"/>
    </row>
    <row r="732">
      <c r="B732" s="26"/>
      <c r="G732" s="26"/>
    </row>
    <row r="733">
      <c r="B733" s="26"/>
      <c r="G733" s="26"/>
    </row>
    <row r="734">
      <c r="B734" s="26"/>
      <c r="G734" s="26"/>
    </row>
    <row r="735">
      <c r="B735" s="26"/>
      <c r="G735" s="26"/>
    </row>
    <row r="736">
      <c r="B736" s="26"/>
      <c r="G736" s="26"/>
    </row>
    <row r="737">
      <c r="B737" s="26"/>
      <c r="G737" s="26"/>
    </row>
    <row r="738">
      <c r="B738" s="26"/>
      <c r="G738" s="26"/>
    </row>
    <row r="739">
      <c r="B739" s="26"/>
      <c r="G739" s="26"/>
    </row>
    <row r="740">
      <c r="B740" s="26"/>
      <c r="G740" s="26"/>
    </row>
    <row r="741">
      <c r="B741" s="26"/>
      <c r="G741" s="26"/>
    </row>
    <row r="742">
      <c r="B742" s="26"/>
      <c r="G742" s="26"/>
    </row>
    <row r="743">
      <c r="B743" s="26"/>
      <c r="G743" s="26"/>
    </row>
    <row r="744">
      <c r="B744" s="26"/>
      <c r="G744" s="26"/>
    </row>
    <row r="745">
      <c r="B745" s="26"/>
      <c r="G745" s="26"/>
    </row>
    <row r="746">
      <c r="B746" s="26"/>
      <c r="G746" s="26"/>
    </row>
    <row r="747">
      <c r="B747" s="26"/>
      <c r="G747" s="26"/>
    </row>
    <row r="748">
      <c r="B748" s="26"/>
      <c r="G748" s="26"/>
    </row>
    <row r="749">
      <c r="B749" s="26"/>
      <c r="G749" s="26"/>
    </row>
    <row r="750">
      <c r="B750" s="26"/>
      <c r="G750" s="26"/>
    </row>
    <row r="751">
      <c r="B751" s="26"/>
      <c r="G751" s="26"/>
    </row>
    <row r="752">
      <c r="B752" s="26"/>
      <c r="G752" s="26"/>
    </row>
    <row r="753">
      <c r="B753" s="26"/>
      <c r="G753" s="26"/>
    </row>
    <row r="754">
      <c r="B754" s="26"/>
      <c r="G754" s="26"/>
    </row>
    <row r="755">
      <c r="B755" s="26"/>
      <c r="G755" s="26"/>
    </row>
    <row r="756">
      <c r="B756" s="26"/>
      <c r="G756" s="26"/>
    </row>
    <row r="757">
      <c r="B757" s="26"/>
      <c r="G757" s="26"/>
    </row>
    <row r="758">
      <c r="B758" s="26"/>
      <c r="G758" s="26"/>
    </row>
    <row r="759">
      <c r="B759" s="26"/>
      <c r="G759" s="26"/>
    </row>
    <row r="760">
      <c r="B760" s="26"/>
      <c r="G760" s="26"/>
    </row>
    <row r="761">
      <c r="B761" s="26"/>
      <c r="G761" s="26"/>
    </row>
    <row r="762">
      <c r="B762" s="26"/>
      <c r="G762" s="26"/>
    </row>
    <row r="763">
      <c r="B763" s="26"/>
      <c r="G763" s="26"/>
    </row>
    <row r="764">
      <c r="B764" s="26"/>
      <c r="G764" s="26"/>
    </row>
    <row r="765">
      <c r="B765" s="26"/>
      <c r="G765" s="26"/>
    </row>
    <row r="766">
      <c r="B766" s="26"/>
      <c r="G766" s="26"/>
    </row>
    <row r="767">
      <c r="B767" s="26"/>
      <c r="G767" s="26"/>
    </row>
    <row r="768">
      <c r="B768" s="26"/>
      <c r="G768" s="26"/>
    </row>
    <row r="769">
      <c r="B769" s="26"/>
      <c r="G769" s="26"/>
    </row>
    <row r="770">
      <c r="B770" s="26"/>
      <c r="G770" s="26"/>
    </row>
    <row r="771">
      <c r="B771" s="26"/>
      <c r="G771" s="26"/>
    </row>
    <row r="772">
      <c r="B772" s="26"/>
      <c r="G772" s="26"/>
    </row>
    <row r="773">
      <c r="B773" s="26"/>
      <c r="G773" s="26"/>
    </row>
    <row r="774">
      <c r="B774" s="26"/>
      <c r="G774" s="26"/>
    </row>
    <row r="775">
      <c r="B775" s="26"/>
      <c r="G775" s="26"/>
    </row>
    <row r="776">
      <c r="B776" s="26"/>
      <c r="G776" s="26"/>
    </row>
    <row r="777">
      <c r="B777" s="26"/>
      <c r="G777" s="26"/>
    </row>
    <row r="778">
      <c r="B778" s="26"/>
      <c r="G778" s="26"/>
    </row>
    <row r="779">
      <c r="B779" s="26"/>
      <c r="G779" s="26"/>
    </row>
    <row r="780">
      <c r="B780" s="26"/>
      <c r="G780" s="26"/>
    </row>
    <row r="781">
      <c r="B781" s="26"/>
      <c r="G781" s="26"/>
    </row>
    <row r="782">
      <c r="B782" s="26"/>
      <c r="G782" s="26"/>
    </row>
    <row r="783">
      <c r="B783" s="26"/>
      <c r="G783" s="26"/>
    </row>
    <row r="784">
      <c r="B784" s="26"/>
      <c r="G784" s="26"/>
    </row>
    <row r="785">
      <c r="B785" s="26"/>
      <c r="G785" s="26"/>
    </row>
    <row r="786">
      <c r="B786" s="26"/>
      <c r="G786" s="26"/>
    </row>
    <row r="787">
      <c r="B787" s="26"/>
      <c r="G787" s="26"/>
    </row>
    <row r="788">
      <c r="B788" s="26"/>
      <c r="G788" s="26"/>
    </row>
    <row r="789">
      <c r="B789" s="26"/>
      <c r="G789" s="26"/>
    </row>
    <row r="790">
      <c r="B790" s="26"/>
      <c r="G790" s="26"/>
    </row>
    <row r="791">
      <c r="B791" s="26"/>
      <c r="G791" s="26"/>
    </row>
    <row r="792">
      <c r="B792" s="26"/>
      <c r="G792" s="26"/>
    </row>
    <row r="793">
      <c r="B793" s="26"/>
      <c r="G793" s="26"/>
    </row>
    <row r="794">
      <c r="B794" s="26"/>
      <c r="G794" s="26"/>
    </row>
    <row r="795">
      <c r="B795" s="26"/>
      <c r="G795" s="26"/>
    </row>
    <row r="796">
      <c r="B796" s="26"/>
      <c r="G796" s="26"/>
    </row>
    <row r="797">
      <c r="B797" s="26"/>
      <c r="G797" s="26"/>
    </row>
    <row r="798">
      <c r="B798" s="26"/>
      <c r="G798" s="26"/>
    </row>
    <row r="799">
      <c r="B799" s="26"/>
      <c r="G799" s="26"/>
    </row>
    <row r="800">
      <c r="B800" s="26"/>
      <c r="G800" s="26"/>
    </row>
    <row r="801">
      <c r="B801" s="26"/>
      <c r="G801" s="26"/>
    </row>
    <row r="802">
      <c r="B802" s="26"/>
      <c r="G802" s="26"/>
    </row>
    <row r="803">
      <c r="B803" s="26"/>
      <c r="G803" s="26"/>
    </row>
    <row r="804">
      <c r="B804" s="26"/>
      <c r="G804" s="26"/>
    </row>
    <row r="805">
      <c r="B805" s="26"/>
      <c r="G805" s="26"/>
    </row>
    <row r="806">
      <c r="B806" s="26"/>
      <c r="G806" s="26"/>
    </row>
    <row r="807">
      <c r="B807" s="26"/>
      <c r="G807" s="26"/>
    </row>
    <row r="808">
      <c r="B808" s="26"/>
      <c r="G808" s="26"/>
    </row>
    <row r="809">
      <c r="B809" s="26"/>
      <c r="G809" s="26"/>
    </row>
    <row r="810">
      <c r="B810" s="26"/>
      <c r="G810" s="26"/>
    </row>
    <row r="811">
      <c r="B811" s="26"/>
      <c r="G811" s="26"/>
    </row>
    <row r="812">
      <c r="B812" s="26"/>
      <c r="G812" s="26"/>
    </row>
    <row r="813">
      <c r="B813" s="26"/>
      <c r="G813" s="26"/>
    </row>
    <row r="814">
      <c r="B814" s="26"/>
      <c r="G814" s="26"/>
    </row>
    <row r="815">
      <c r="B815" s="26"/>
      <c r="G815" s="26"/>
    </row>
    <row r="816">
      <c r="B816" s="26"/>
      <c r="G816" s="26"/>
    </row>
    <row r="817">
      <c r="B817" s="26"/>
      <c r="G817" s="26"/>
    </row>
    <row r="818">
      <c r="B818" s="26"/>
      <c r="G818" s="26"/>
    </row>
    <row r="819">
      <c r="B819" s="26"/>
      <c r="G819" s="26"/>
    </row>
    <row r="820">
      <c r="B820" s="26"/>
      <c r="G820" s="26"/>
    </row>
    <row r="821">
      <c r="B821" s="26"/>
      <c r="G821" s="26"/>
    </row>
    <row r="822">
      <c r="B822" s="26"/>
      <c r="G822" s="26"/>
    </row>
    <row r="823">
      <c r="B823" s="26"/>
      <c r="G823" s="26"/>
    </row>
    <row r="824">
      <c r="B824" s="26"/>
      <c r="G824" s="26"/>
    </row>
    <row r="825">
      <c r="B825" s="26"/>
      <c r="G825" s="26"/>
    </row>
    <row r="826">
      <c r="B826" s="26"/>
      <c r="G826" s="26"/>
    </row>
    <row r="827">
      <c r="B827" s="26"/>
      <c r="G827" s="26"/>
    </row>
    <row r="828">
      <c r="B828" s="26"/>
      <c r="G828" s="26"/>
    </row>
    <row r="829">
      <c r="B829" s="26"/>
      <c r="G829" s="26"/>
    </row>
    <row r="830">
      <c r="B830" s="26"/>
      <c r="G830" s="26"/>
    </row>
    <row r="831">
      <c r="B831" s="26"/>
      <c r="G831" s="26"/>
    </row>
    <row r="832">
      <c r="B832" s="26"/>
      <c r="G832" s="26"/>
    </row>
    <row r="833">
      <c r="B833" s="26"/>
      <c r="G833" s="26"/>
    </row>
    <row r="834">
      <c r="B834" s="26"/>
      <c r="G834" s="26"/>
    </row>
    <row r="835">
      <c r="B835" s="26"/>
      <c r="G835" s="26"/>
    </row>
    <row r="836">
      <c r="B836" s="26"/>
      <c r="G836" s="26"/>
    </row>
    <row r="837">
      <c r="B837" s="26"/>
      <c r="G837" s="26"/>
    </row>
    <row r="838">
      <c r="B838" s="26"/>
      <c r="G838" s="26"/>
    </row>
    <row r="839">
      <c r="B839" s="26"/>
      <c r="G839" s="26"/>
    </row>
    <row r="840">
      <c r="B840" s="26"/>
      <c r="G840" s="26"/>
    </row>
    <row r="841">
      <c r="B841" s="26"/>
      <c r="G841" s="26"/>
    </row>
    <row r="842">
      <c r="B842" s="26"/>
      <c r="G842" s="26"/>
    </row>
    <row r="843">
      <c r="B843" s="26"/>
      <c r="G843" s="26"/>
    </row>
    <row r="844">
      <c r="B844" s="26"/>
      <c r="G844" s="26"/>
    </row>
    <row r="845">
      <c r="B845" s="26"/>
      <c r="G845" s="26"/>
    </row>
    <row r="846">
      <c r="B846" s="26"/>
      <c r="G846" s="26"/>
    </row>
    <row r="847">
      <c r="B847" s="26"/>
      <c r="G847" s="26"/>
    </row>
    <row r="848">
      <c r="B848" s="26"/>
      <c r="G848" s="26"/>
    </row>
    <row r="849">
      <c r="B849" s="26"/>
      <c r="G849" s="26"/>
    </row>
    <row r="850">
      <c r="B850" s="26"/>
      <c r="G850" s="26"/>
    </row>
    <row r="851">
      <c r="B851" s="26"/>
      <c r="G851" s="26"/>
    </row>
    <row r="852">
      <c r="B852" s="26"/>
      <c r="G852" s="26"/>
    </row>
    <row r="853">
      <c r="B853" s="26"/>
      <c r="G853" s="26"/>
    </row>
    <row r="854">
      <c r="B854" s="26"/>
      <c r="G854" s="26"/>
    </row>
    <row r="855">
      <c r="B855" s="26"/>
      <c r="G855" s="26"/>
    </row>
    <row r="856">
      <c r="B856" s="26"/>
      <c r="G856" s="26"/>
    </row>
    <row r="857">
      <c r="B857" s="26"/>
      <c r="G857" s="26"/>
    </row>
    <row r="858">
      <c r="B858" s="26"/>
      <c r="G858" s="26"/>
    </row>
    <row r="859">
      <c r="B859" s="26"/>
      <c r="G859" s="26"/>
    </row>
    <row r="860">
      <c r="B860" s="26"/>
      <c r="G860" s="26"/>
    </row>
    <row r="861">
      <c r="B861" s="26"/>
      <c r="G861" s="26"/>
    </row>
    <row r="862">
      <c r="B862" s="26"/>
      <c r="G862" s="26"/>
    </row>
    <row r="863">
      <c r="B863" s="26"/>
      <c r="G863" s="26"/>
    </row>
    <row r="864">
      <c r="B864" s="26"/>
      <c r="G864" s="26"/>
    </row>
    <row r="865">
      <c r="B865" s="26"/>
      <c r="G865" s="26"/>
    </row>
    <row r="866">
      <c r="B866" s="26"/>
      <c r="G866" s="26"/>
    </row>
    <row r="867">
      <c r="B867" s="26"/>
      <c r="G867" s="26"/>
    </row>
    <row r="868">
      <c r="B868" s="26"/>
      <c r="G868" s="26"/>
    </row>
    <row r="869">
      <c r="B869" s="26"/>
      <c r="G869" s="26"/>
    </row>
    <row r="870">
      <c r="B870" s="26"/>
      <c r="G870" s="26"/>
    </row>
    <row r="871">
      <c r="B871" s="26"/>
      <c r="G871" s="26"/>
    </row>
    <row r="872">
      <c r="B872" s="26"/>
      <c r="G872" s="26"/>
    </row>
    <row r="873">
      <c r="B873" s="26"/>
      <c r="G873" s="26"/>
    </row>
    <row r="874">
      <c r="B874" s="26"/>
      <c r="G874" s="26"/>
    </row>
    <row r="875">
      <c r="B875" s="26"/>
      <c r="G875" s="26"/>
    </row>
    <row r="876">
      <c r="B876" s="26"/>
      <c r="G876" s="26"/>
    </row>
    <row r="877">
      <c r="B877" s="26"/>
      <c r="G877" s="26"/>
    </row>
    <row r="878">
      <c r="B878" s="26"/>
      <c r="G878" s="26"/>
    </row>
    <row r="879">
      <c r="B879" s="26"/>
      <c r="G879" s="26"/>
    </row>
    <row r="880">
      <c r="B880" s="26"/>
      <c r="G880" s="26"/>
    </row>
    <row r="881">
      <c r="B881" s="26"/>
      <c r="G881" s="26"/>
    </row>
    <row r="882">
      <c r="B882" s="26"/>
      <c r="G882" s="26"/>
    </row>
    <row r="883">
      <c r="B883" s="26"/>
      <c r="G883" s="26"/>
    </row>
    <row r="884">
      <c r="B884" s="26"/>
      <c r="G884" s="26"/>
    </row>
    <row r="885">
      <c r="B885" s="26"/>
      <c r="G885" s="26"/>
    </row>
    <row r="886">
      <c r="B886" s="26"/>
      <c r="G886" s="26"/>
    </row>
    <row r="887">
      <c r="B887" s="26"/>
      <c r="G887" s="26"/>
    </row>
    <row r="888">
      <c r="B888" s="26"/>
      <c r="G888" s="26"/>
    </row>
    <row r="889">
      <c r="B889" s="26"/>
      <c r="G889" s="26"/>
    </row>
    <row r="890">
      <c r="B890" s="26"/>
      <c r="G890" s="26"/>
    </row>
    <row r="891">
      <c r="B891" s="26"/>
      <c r="G891" s="26"/>
    </row>
    <row r="892">
      <c r="B892" s="26"/>
      <c r="G892" s="26"/>
    </row>
    <row r="893">
      <c r="B893" s="26"/>
      <c r="G893" s="26"/>
    </row>
    <row r="894">
      <c r="B894" s="26"/>
      <c r="G894" s="26"/>
    </row>
    <row r="895">
      <c r="B895" s="26"/>
      <c r="G895" s="26"/>
    </row>
    <row r="896">
      <c r="B896" s="26"/>
      <c r="G896" s="26"/>
    </row>
    <row r="897">
      <c r="B897" s="26"/>
      <c r="G897" s="26"/>
    </row>
    <row r="898">
      <c r="B898" s="26"/>
      <c r="G898" s="26"/>
    </row>
    <row r="899">
      <c r="B899" s="26"/>
      <c r="G899" s="26"/>
    </row>
    <row r="900">
      <c r="B900" s="26"/>
      <c r="G900" s="26"/>
    </row>
    <row r="901">
      <c r="B901" s="26"/>
      <c r="G901" s="26"/>
    </row>
    <row r="902">
      <c r="B902" s="26"/>
      <c r="G902" s="26"/>
    </row>
    <row r="903">
      <c r="B903" s="26"/>
      <c r="G903" s="26"/>
    </row>
    <row r="904">
      <c r="B904" s="26"/>
      <c r="G904" s="26"/>
    </row>
    <row r="905">
      <c r="B905" s="26"/>
      <c r="G905" s="26"/>
    </row>
    <row r="906">
      <c r="B906" s="26"/>
      <c r="G906" s="26"/>
    </row>
    <row r="907">
      <c r="B907" s="26"/>
      <c r="G907" s="26"/>
    </row>
    <row r="908">
      <c r="B908" s="26"/>
      <c r="G908" s="26"/>
    </row>
    <row r="909">
      <c r="B909" s="26"/>
      <c r="G909" s="26"/>
    </row>
    <row r="910">
      <c r="B910" s="26"/>
      <c r="G910" s="26"/>
    </row>
    <row r="911">
      <c r="B911" s="26"/>
      <c r="G911" s="26"/>
    </row>
    <row r="912">
      <c r="B912" s="26"/>
      <c r="G912" s="26"/>
    </row>
    <row r="913">
      <c r="B913" s="26"/>
      <c r="G913" s="26"/>
    </row>
    <row r="914">
      <c r="B914" s="26"/>
      <c r="G914" s="26"/>
    </row>
    <row r="915">
      <c r="B915" s="26"/>
      <c r="G915" s="26"/>
    </row>
    <row r="916">
      <c r="B916" s="26"/>
      <c r="G916" s="26"/>
    </row>
    <row r="917">
      <c r="B917" s="26"/>
      <c r="G917" s="26"/>
    </row>
    <row r="918">
      <c r="B918" s="26"/>
      <c r="G918" s="26"/>
    </row>
    <row r="919">
      <c r="B919" s="26"/>
      <c r="G919" s="26"/>
    </row>
    <row r="920">
      <c r="B920" s="26"/>
      <c r="G920" s="26"/>
    </row>
    <row r="921">
      <c r="B921" s="26"/>
      <c r="G921" s="26"/>
    </row>
    <row r="922">
      <c r="B922" s="26"/>
      <c r="G922" s="26"/>
    </row>
    <row r="923">
      <c r="B923" s="26"/>
      <c r="G923" s="26"/>
    </row>
    <row r="924">
      <c r="B924" s="26"/>
      <c r="G924" s="26"/>
    </row>
    <row r="925">
      <c r="B925" s="26"/>
      <c r="G925" s="26"/>
    </row>
    <row r="926">
      <c r="B926" s="26"/>
      <c r="G926" s="26"/>
    </row>
    <row r="927">
      <c r="B927" s="26"/>
      <c r="G927" s="26"/>
    </row>
    <row r="928">
      <c r="B928" s="26"/>
      <c r="G928" s="26"/>
    </row>
    <row r="929">
      <c r="B929" s="26"/>
      <c r="G929" s="26"/>
    </row>
    <row r="930">
      <c r="B930" s="26"/>
      <c r="G930" s="26"/>
    </row>
    <row r="931">
      <c r="B931" s="26"/>
      <c r="G931" s="26"/>
    </row>
    <row r="932">
      <c r="B932" s="26"/>
      <c r="G932" s="26"/>
    </row>
    <row r="933">
      <c r="B933" s="26"/>
      <c r="G933" s="26"/>
    </row>
    <row r="934">
      <c r="B934" s="26"/>
      <c r="G934" s="26"/>
    </row>
    <row r="935">
      <c r="B935" s="26"/>
      <c r="G935" s="26"/>
    </row>
    <row r="936">
      <c r="B936" s="26"/>
      <c r="G936" s="26"/>
    </row>
    <row r="937">
      <c r="B937" s="26"/>
      <c r="G937" s="26"/>
    </row>
    <row r="938">
      <c r="B938" s="26"/>
      <c r="G938" s="26"/>
    </row>
    <row r="939">
      <c r="B939" s="26"/>
      <c r="G939" s="26"/>
    </row>
    <row r="940">
      <c r="B940" s="26"/>
      <c r="G940" s="26"/>
    </row>
    <row r="941">
      <c r="B941" s="26"/>
      <c r="G941" s="26"/>
    </row>
    <row r="942">
      <c r="B942" s="26"/>
      <c r="G942" s="26"/>
    </row>
    <row r="943">
      <c r="B943" s="26"/>
      <c r="G943" s="26"/>
    </row>
    <row r="944">
      <c r="B944" s="26"/>
      <c r="G944" s="26"/>
    </row>
    <row r="945">
      <c r="B945" s="26"/>
      <c r="G945" s="26"/>
    </row>
    <row r="946">
      <c r="B946" s="26"/>
      <c r="G946" s="26"/>
    </row>
    <row r="947">
      <c r="B947" s="26"/>
      <c r="G947" s="26"/>
    </row>
    <row r="948">
      <c r="B948" s="26"/>
      <c r="G948" s="26"/>
    </row>
    <row r="949">
      <c r="B949" s="26"/>
      <c r="G949" s="26"/>
    </row>
    <row r="950">
      <c r="B950" s="26"/>
      <c r="G950" s="26"/>
    </row>
    <row r="951">
      <c r="B951" s="26"/>
      <c r="G951" s="26"/>
    </row>
    <row r="952">
      <c r="B952" s="26"/>
      <c r="G952" s="26"/>
    </row>
    <row r="953">
      <c r="B953" s="26"/>
      <c r="G953" s="26"/>
    </row>
    <row r="954">
      <c r="B954" s="26"/>
      <c r="G954" s="26"/>
    </row>
    <row r="955">
      <c r="B955" s="26"/>
      <c r="G955" s="26"/>
    </row>
    <row r="956">
      <c r="B956" s="26"/>
      <c r="G956" s="26"/>
    </row>
    <row r="957">
      <c r="B957" s="26"/>
      <c r="G957" s="26"/>
    </row>
    <row r="958">
      <c r="B958" s="26"/>
      <c r="G958" s="26"/>
    </row>
    <row r="959">
      <c r="B959" s="26"/>
      <c r="G959" s="26"/>
    </row>
    <row r="960">
      <c r="B960" s="26"/>
      <c r="G960" s="26"/>
    </row>
    <row r="961">
      <c r="B961" s="26"/>
      <c r="G961" s="26"/>
    </row>
    <row r="962">
      <c r="B962" s="26"/>
      <c r="G962" s="26"/>
    </row>
    <row r="963">
      <c r="B963" s="26"/>
      <c r="G963" s="26"/>
    </row>
    <row r="964">
      <c r="B964" s="26"/>
      <c r="G964" s="26"/>
    </row>
    <row r="965">
      <c r="B965" s="26"/>
      <c r="G965" s="26"/>
    </row>
    <row r="966">
      <c r="B966" s="26"/>
      <c r="G966" s="26"/>
    </row>
    <row r="967">
      <c r="B967" s="26"/>
      <c r="G967" s="26"/>
    </row>
    <row r="968">
      <c r="B968" s="26"/>
      <c r="G968" s="26"/>
    </row>
    <row r="969">
      <c r="B969" s="26"/>
      <c r="G969" s="26"/>
    </row>
    <row r="970">
      <c r="B970" s="26"/>
      <c r="G970" s="26"/>
    </row>
    <row r="971">
      <c r="B971" s="26"/>
      <c r="G971" s="26"/>
    </row>
    <row r="972">
      <c r="B972" s="26"/>
      <c r="G972" s="26"/>
    </row>
    <row r="973">
      <c r="B973" s="26"/>
      <c r="G973" s="26"/>
    </row>
    <row r="974">
      <c r="B974" s="26"/>
      <c r="G974" s="26"/>
    </row>
    <row r="975">
      <c r="B975" s="26"/>
      <c r="G975" s="26"/>
    </row>
    <row r="976">
      <c r="B976" s="26"/>
      <c r="G976" s="26"/>
    </row>
    <row r="977">
      <c r="B977" s="26"/>
      <c r="G977" s="26"/>
    </row>
    <row r="978">
      <c r="B978" s="26"/>
      <c r="G978" s="26"/>
    </row>
    <row r="979">
      <c r="B979" s="26"/>
      <c r="G979" s="26"/>
    </row>
    <row r="980">
      <c r="B980" s="26"/>
      <c r="G980" s="26"/>
    </row>
    <row r="981">
      <c r="B981" s="26"/>
      <c r="G981" s="26"/>
    </row>
    <row r="982">
      <c r="B982" s="26"/>
      <c r="G982" s="26"/>
    </row>
    <row r="983">
      <c r="B983" s="26"/>
      <c r="G983" s="26"/>
    </row>
    <row r="984">
      <c r="B984" s="26"/>
      <c r="G984" s="26"/>
    </row>
    <row r="985">
      <c r="B985" s="26"/>
      <c r="G985" s="26"/>
    </row>
    <row r="986">
      <c r="B986" s="26"/>
      <c r="G986" s="26"/>
    </row>
    <row r="987">
      <c r="B987" s="26"/>
      <c r="G987" s="26"/>
    </row>
    <row r="988">
      <c r="B988" s="26"/>
      <c r="G988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25"/>
    <col customWidth="1" min="2" max="2" width="4.63"/>
    <col customWidth="1" min="3" max="3" width="19.0"/>
    <col customWidth="1" min="4" max="4" width="31.75"/>
    <col customWidth="1" min="5" max="5" width="24.88"/>
    <col customWidth="1" min="7" max="7" width="19.13"/>
  </cols>
  <sheetData>
    <row r="1">
      <c r="A1" s="3" t="s">
        <v>198</v>
      </c>
      <c r="B1" s="3" t="s">
        <v>208</v>
      </c>
      <c r="C1" s="3" t="s">
        <v>200</v>
      </c>
      <c r="D1" s="3" t="s">
        <v>209</v>
      </c>
      <c r="E1" s="3" t="s">
        <v>1</v>
      </c>
      <c r="F1" s="5" t="s">
        <v>210</v>
      </c>
      <c r="G1" s="3" t="s">
        <v>211</v>
      </c>
      <c r="H1" s="3" t="s">
        <v>212</v>
      </c>
    </row>
    <row r="2">
      <c r="A2" s="27" t="s">
        <v>213</v>
      </c>
      <c r="B2" s="27">
        <v>2.0</v>
      </c>
      <c r="C2" s="27" t="s">
        <v>206</v>
      </c>
      <c r="D2" s="27" t="s">
        <v>206</v>
      </c>
      <c r="E2" s="27" t="s">
        <v>193</v>
      </c>
      <c r="F2" s="31">
        <v>24.0</v>
      </c>
      <c r="G2" s="29">
        <v>46046.06662200231</v>
      </c>
      <c r="H2" s="27" t="s">
        <v>207</v>
      </c>
      <c r="I2" s="32" t="s">
        <v>214</v>
      </c>
    </row>
    <row r="3">
      <c r="A3" s="27" t="s">
        <v>215</v>
      </c>
      <c r="B3" s="27">
        <v>2.0</v>
      </c>
      <c r="C3" s="27" t="s">
        <v>206</v>
      </c>
      <c r="D3" s="27" t="s">
        <v>206</v>
      </c>
      <c r="E3" s="27" t="s">
        <v>195</v>
      </c>
      <c r="F3" s="31">
        <v>1.0</v>
      </c>
      <c r="G3" s="29">
        <v>46046.04064731482</v>
      </c>
      <c r="H3" s="27" t="s">
        <v>207</v>
      </c>
      <c r="I3" s="32" t="s">
        <v>214</v>
      </c>
    </row>
    <row r="4">
      <c r="A4" s="27" t="s">
        <v>213</v>
      </c>
      <c r="B4" s="27">
        <v>2.0</v>
      </c>
      <c r="C4" s="27" t="s">
        <v>206</v>
      </c>
      <c r="D4" s="27" t="s">
        <v>206</v>
      </c>
      <c r="E4" s="21" t="s">
        <v>123</v>
      </c>
      <c r="F4" s="27">
        <v>141.0</v>
      </c>
      <c r="G4" s="29">
        <v>46046.029772800925</v>
      </c>
      <c r="H4" s="27" t="s">
        <v>207</v>
      </c>
      <c r="I4" s="32" t="s">
        <v>214</v>
      </c>
    </row>
    <row r="5">
      <c r="A5" s="27" t="s">
        <v>213</v>
      </c>
      <c r="B5" s="27">
        <v>2.0</v>
      </c>
      <c r="C5" s="27" t="s">
        <v>206</v>
      </c>
      <c r="D5" s="27" t="s">
        <v>206</v>
      </c>
      <c r="E5" s="21" t="s">
        <v>116</v>
      </c>
      <c r="F5" s="27">
        <v>5.0</v>
      </c>
      <c r="G5" s="29">
        <v>46046.029772800925</v>
      </c>
      <c r="H5" s="27" t="s">
        <v>207</v>
      </c>
      <c r="I5" s="32" t="s">
        <v>214</v>
      </c>
    </row>
    <row r="6">
      <c r="A6" s="27" t="s">
        <v>213</v>
      </c>
      <c r="B6" s="27">
        <v>2.0</v>
      </c>
      <c r="C6" s="27" t="s">
        <v>206</v>
      </c>
      <c r="D6" s="27" t="s">
        <v>206</v>
      </c>
      <c r="E6" s="21" t="s">
        <v>119</v>
      </c>
      <c r="F6" s="27">
        <v>50.0</v>
      </c>
      <c r="G6" s="29">
        <v>46046.029772800925</v>
      </c>
      <c r="H6" s="27" t="s">
        <v>207</v>
      </c>
      <c r="I6" s="32" t="s">
        <v>214</v>
      </c>
    </row>
    <row r="7">
      <c r="G7" s="29"/>
    </row>
    <row r="8">
      <c r="G8" s="29"/>
    </row>
    <row r="9">
      <c r="G9" s="29"/>
    </row>
    <row r="10">
      <c r="G10" s="29"/>
    </row>
    <row r="11">
      <c r="G11" s="29"/>
    </row>
    <row r="12">
      <c r="G12" s="29"/>
    </row>
    <row r="13">
      <c r="G13" s="29"/>
    </row>
    <row r="14">
      <c r="A14" s="33"/>
      <c r="B14" s="33"/>
      <c r="C14" s="33"/>
      <c r="D14" s="33"/>
      <c r="E14" s="33"/>
      <c r="F14" s="33"/>
      <c r="G14" s="34"/>
    </row>
    <row r="15">
      <c r="G15" s="29"/>
    </row>
    <row r="16">
      <c r="G16" s="29"/>
    </row>
    <row r="17">
      <c r="G17" s="29"/>
    </row>
    <row r="18">
      <c r="G18" s="29"/>
    </row>
    <row r="19">
      <c r="G19" s="29"/>
    </row>
    <row r="20">
      <c r="G20" s="29"/>
    </row>
    <row r="21">
      <c r="G21" s="29"/>
    </row>
    <row r="22">
      <c r="G22" s="29"/>
    </row>
    <row r="23">
      <c r="G23" s="29"/>
    </row>
    <row r="24">
      <c r="G24" s="29"/>
    </row>
    <row r="25">
      <c r="G25" s="29"/>
    </row>
    <row r="26">
      <c r="G26" s="29"/>
    </row>
    <row r="27">
      <c r="G27" s="29"/>
    </row>
    <row r="28">
      <c r="G28" s="29"/>
    </row>
    <row r="29">
      <c r="G29" s="29"/>
    </row>
    <row r="30">
      <c r="G30" s="29"/>
    </row>
    <row r="31">
      <c r="G31" s="29"/>
    </row>
    <row r="32">
      <c r="G32" s="29"/>
    </row>
  </sheetData>
  <hyperlinks>
    <hyperlink r:id="rId1" ref="I2"/>
    <hyperlink r:id="rId2" ref="I3"/>
    <hyperlink r:id="rId3" ref="I4"/>
    <hyperlink r:id="rId4" ref="I5"/>
    <hyperlink r:id="rId5" ref="I6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32.38"/>
    <col customWidth="1" min="3" max="3" width="26.13"/>
  </cols>
  <sheetData>
    <row r="1">
      <c r="A1" s="35" t="str">
        <f>IFERROR(__xludf.DUMMYFUNCTION("QUERY(IntentDB!B:F, ""select B, C, E, sum(F) where B is not null group by B, C, E label sum(F) 'TotalQuantity'"", 1)"),"波段")</f>
        <v>波段</v>
      </c>
      <c r="B1" s="35" t="str">
        <f>IFERROR(__xludf.DUMMYFUNCTION("""COMPUTED_VALUE"""),"團主 ID")</f>
        <v>團主 ID</v>
      </c>
      <c r="C1" s="35" t="str">
        <f>IFERROR(__xludf.DUMMYFUNCTION("""COMPUTED_VALUE"""),"商品名稱")</f>
        <v>商品名稱</v>
      </c>
      <c r="D1" s="35" t="str">
        <f>IFERROR(__xludf.DUMMYFUNCTION("""COMPUTED_VALUE"""),"TotalQuantity")</f>
        <v>TotalQuantity</v>
      </c>
    </row>
    <row r="2">
      <c r="A2" s="35">
        <f>IFERROR(__xludf.DUMMYFUNCTION("""COMPUTED_VALUE"""),2.0)</f>
        <v>2</v>
      </c>
      <c r="B2" s="35" t="str">
        <f>IFERROR(__xludf.DUMMYFUNCTION("""COMPUTED_VALUE"""),"Ub6e6a2d6e6358bd68b656638e974b1c6")</f>
        <v>Ub6e6a2d6e6358bd68b656638e974b1c6</v>
      </c>
      <c r="C2" s="35" t="str">
        <f>IFERROR(__xludf.DUMMYFUNCTION("""COMPUTED_VALUE"""),"test")</f>
        <v>test</v>
      </c>
      <c r="D2" s="35">
        <f>IFERROR(__xludf.DUMMYFUNCTION("""COMPUTED_VALUE"""),24.0)</f>
        <v>24</v>
      </c>
    </row>
    <row r="3">
      <c r="A3" s="35">
        <f>IFERROR(__xludf.DUMMYFUNCTION("""COMPUTED_VALUE"""),2.0)</f>
        <v>2</v>
      </c>
      <c r="B3" s="35" t="str">
        <f>IFERROR(__xludf.DUMMYFUNCTION("""COMPUTED_VALUE"""),"Ub6e6a2d6e6358bd68b656638e974b1c6")</f>
        <v>Ub6e6a2d6e6358bd68b656638e974b1c6</v>
      </c>
      <c r="C3" s="35" t="str">
        <f>IFERROR(__xludf.DUMMYFUNCTION("""COMPUTED_VALUE"""),"test2")</f>
        <v>test2</v>
      </c>
      <c r="D3" s="35">
        <f>IFERROR(__xludf.DUMMYFUNCTION("""COMPUTED_VALUE"""),1.0)</f>
        <v>1</v>
      </c>
    </row>
    <row r="4">
      <c r="A4" s="35">
        <f>IFERROR(__xludf.DUMMYFUNCTION("""COMPUTED_VALUE"""),2.0)</f>
        <v>2</v>
      </c>
      <c r="B4" s="35" t="str">
        <f>IFERROR(__xludf.DUMMYFUNCTION("""COMPUTED_VALUE"""),"Ub6e6a2d6e6358bd68b656638e974b1c6")</f>
        <v>Ub6e6a2d6e6358bd68b656638e974b1c6</v>
      </c>
      <c r="C4" s="35" t="str">
        <f>IFERROR(__xludf.DUMMYFUNCTION("""COMPUTED_VALUE"""),"【KAO】HAITER浴室泡沫漂白噴霧")</f>
        <v>【KAO】HAITER浴室泡沫漂白噴霧</v>
      </c>
      <c r="D4" s="35">
        <f>IFERROR(__xludf.DUMMYFUNCTION("""COMPUTED_VALUE"""),50.0)</f>
        <v>50</v>
      </c>
    </row>
    <row r="5">
      <c r="A5" s="35">
        <f>IFERROR(__xludf.DUMMYFUNCTION("""COMPUTED_VALUE"""),2.0)</f>
        <v>2</v>
      </c>
      <c r="B5" s="35" t="str">
        <f>IFERROR(__xludf.DUMMYFUNCTION("""COMPUTED_VALUE"""),"Ub6e6a2d6e6358bd68b656638e974b1c6")</f>
        <v>Ub6e6a2d6e6358bd68b656638e974b1c6</v>
      </c>
      <c r="C5" s="35" t="str">
        <f>IFERROR(__xludf.DUMMYFUNCTION("""COMPUTED_VALUE"""),"【LEC超值組】激落君 強力除霉泡泡")</f>
        <v>【LEC超值組】激落君 強力除霉泡泡</v>
      </c>
      <c r="D5" s="35">
        <f>IFERROR(__xludf.DUMMYFUNCTION("""COMPUTED_VALUE"""),141.0)</f>
        <v>141</v>
      </c>
    </row>
    <row r="6">
      <c r="A6" s="35">
        <f>IFERROR(__xludf.DUMMYFUNCTION("""COMPUTED_VALUE"""),2.0)</f>
        <v>2</v>
      </c>
      <c r="B6" s="35" t="str">
        <f>IFERROR(__xludf.DUMMYFUNCTION("""COMPUTED_VALUE"""),"Ub6e6a2d6e6358bd68b656638e974b1c6")</f>
        <v>Ub6e6a2d6e6358bd68b656638e974b1c6</v>
      </c>
      <c r="C6" s="35" t="str">
        <f>IFERROR(__xludf.DUMMYFUNCTION("""COMPUTED_VALUE"""),"義美巧克力小泡芙57g")</f>
        <v>義美巧克力小泡芙57g</v>
      </c>
      <c r="D6" s="35">
        <f>IFERROR(__xludf.DUMMYFUNCTION("""COMPUTED_VALUE"""),5.0)</f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3" max="3" width="201.25"/>
  </cols>
  <sheetData>
    <row r="1">
      <c r="A1" s="27" t="s">
        <v>216</v>
      </c>
      <c r="B1" s="27" t="s">
        <v>217</v>
      </c>
      <c r="C1" s="27" t="s">
        <v>218</v>
      </c>
    </row>
    <row r="2">
      <c r="A2" s="29">
        <v>46046.12960533565</v>
      </c>
      <c r="B2" s="27" t="s">
        <v>219</v>
      </c>
      <c r="C2" s="27" t="s">
        <v>220</v>
      </c>
    </row>
    <row r="3">
      <c r="A3" s="29">
        <v>46046.12964398148</v>
      </c>
      <c r="B3" s="27" t="s">
        <v>221</v>
      </c>
      <c r="C3" s="27" t="s">
        <v>222</v>
      </c>
    </row>
    <row r="4">
      <c r="A4" s="29">
        <v>46046.12982780093</v>
      </c>
      <c r="B4" s="27" t="s">
        <v>219</v>
      </c>
      <c r="C4" s="27" t="s">
        <v>220</v>
      </c>
    </row>
    <row r="5">
      <c r="A5" s="29">
        <v>46046.129866828705</v>
      </c>
      <c r="B5" s="27" t="s">
        <v>221</v>
      </c>
      <c r="C5" s="27" t="s">
        <v>222</v>
      </c>
    </row>
    <row r="6">
      <c r="A6" s="29">
        <v>46046.13008859954</v>
      </c>
      <c r="B6" s="27" t="s">
        <v>221</v>
      </c>
      <c r="C6" s="27" t="s">
        <v>223</v>
      </c>
    </row>
    <row r="7">
      <c r="A7" s="29">
        <v>46046.130119293986</v>
      </c>
      <c r="B7" s="27" t="s">
        <v>219</v>
      </c>
      <c r="C7" s="27" t="s">
        <v>220</v>
      </c>
    </row>
    <row r="8">
      <c r="A8" s="29">
        <v>46046.13015675926</v>
      </c>
      <c r="B8" s="27" t="s">
        <v>221</v>
      </c>
      <c r="C8" s="27" t="s">
        <v>222</v>
      </c>
    </row>
    <row r="9">
      <c r="A9" s="29">
        <v>46046.13026414352</v>
      </c>
      <c r="B9" s="27" t="s">
        <v>221</v>
      </c>
      <c r="C9" s="27" t="s">
        <v>224</v>
      </c>
    </row>
    <row r="10">
      <c r="A10" s="29">
        <v>46046.13029502315</v>
      </c>
      <c r="B10" s="27" t="s">
        <v>219</v>
      </c>
      <c r="C10" s="27" t="s">
        <v>220</v>
      </c>
    </row>
    <row r="11">
      <c r="A11" s="29">
        <v>46046.13034145834</v>
      </c>
      <c r="B11" s="27" t="s">
        <v>221</v>
      </c>
      <c r="C11" s="27" t="s">
        <v>222</v>
      </c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</sheetData>
  <drawing r:id="rId1"/>
</worksheet>
</file>